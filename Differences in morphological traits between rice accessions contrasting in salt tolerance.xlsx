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试验\试验二\第二篇文章数据整理\形态生理指标（耐盐盐敏感品种)-整理完成\"/>
    </mc:Choice>
  </mc:AlternateContent>
  <xr:revisionPtr revIDLastSave="0" documentId="13_ncr:1_{A70DAD3E-C911-444A-829B-F61B47645FE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发芽率根长芽长" sheetId="1" r:id="rId1"/>
    <sheet name="发芽势" sheetId="2" r:id="rId2"/>
    <sheet name="根数量" sheetId="3" r:id="rId3"/>
    <sheet name="作图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5" i="1"/>
  <c r="E15" i="1" s="1"/>
  <c r="F12" i="3"/>
  <c r="G12" i="3"/>
  <c r="H12" i="3"/>
  <c r="F13" i="3"/>
  <c r="G13" i="3"/>
  <c r="H13" i="3"/>
  <c r="F14" i="3"/>
  <c r="G14" i="3"/>
  <c r="H14" i="3"/>
  <c r="G11" i="3"/>
  <c r="H11" i="3"/>
  <c r="F11" i="3"/>
  <c r="F3" i="3"/>
  <c r="G3" i="3"/>
  <c r="H3" i="3"/>
  <c r="F4" i="3"/>
  <c r="G4" i="3"/>
  <c r="H4" i="3"/>
  <c r="F5" i="3"/>
  <c r="G5" i="3"/>
  <c r="H5" i="3"/>
  <c r="G2" i="3"/>
  <c r="H2" i="3"/>
  <c r="F2" i="3"/>
  <c r="G16" i="3"/>
  <c r="G7" i="3"/>
  <c r="F13" i="2"/>
  <c r="F12" i="2"/>
  <c r="F11" i="2"/>
  <c r="F10" i="2"/>
  <c r="F5" i="2"/>
  <c r="F4" i="2"/>
  <c r="F3" i="2"/>
  <c r="F15" i="2"/>
  <c r="F7" i="2"/>
  <c r="D17" i="2"/>
  <c r="E17" i="2" s="1"/>
  <c r="D3" i="2"/>
  <c r="D4" i="2"/>
  <c r="D5" i="2"/>
  <c r="D6" i="2"/>
  <c r="D7" i="2"/>
  <c r="D8" i="2"/>
  <c r="D9" i="2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2" i="2"/>
  <c r="E2" i="2" s="1"/>
  <c r="F2" i="2" s="1"/>
  <c r="E3" i="2"/>
  <c r="E4" i="2"/>
  <c r="E5" i="2"/>
  <c r="E6" i="2"/>
  <c r="E7" i="2"/>
  <c r="E8" i="2"/>
  <c r="E9" i="2"/>
  <c r="U14" i="1"/>
  <c r="T14" i="1"/>
  <c r="S14" i="1"/>
  <c r="R14" i="1"/>
  <c r="Q14" i="1"/>
  <c r="P14" i="1"/>
  <c r="U13" i="1"/>
  <c r="T13" i="1"/>
  <c r="S13" i="1"/>
  <c r="R13" i="1"/>
  <c r="Q13" i="1"/>
  <c r="P13" i="1"/>
  <c r="U12" i="1"/>
  <c r="T12" i="1"/>
  <c r="S12" i="1"/>
  <c r="R12" i="1"/>
  <c r="Q12" i="1"/>
  <c r="P12" i="1"/>
  <c r="U11" i="1"/>
  <c r="T11" i="1"/>
  <c r="S11" i="1"/>
  <c r="R11" i="1"/>
  <c r="Q11" i="1"/>
  <c r="P11" i="1"/>
  <c r="U5" i="1"/>
  <c r="U4" i="1"/>
  <c r="U3" i="1"/>
  <c r="U2" i="1"/>
  <c r="T5" i="1"/>
  <c r="T4" i="1"/>
  <c r="T3" i="1"/>
  <c r="T2" i="1"/>
  <c r="S5" i="1"/>
  <c r="S4" i="1"/>
  <c r="S3" i="1"/>
  <c r="S2" i="1"/>
  <c r="T16" i="1"/>
  <c r="Q16" i="1"/>
  <c r="T7" i="1" a="1"/>
  <c r="T7" i="1" s="1"/>
  <c r="Q7" i="1"/>
  <c r="R4" i="1" s="1"/>
  <c r="F5" i="1"/>
  <c r="F4" i="1"/>
  <c r="F3" i="1"/>
  <c r="F2" i="1"/>
  <c r="F7" i="1"/>
  <c r="E12" i="1"/>
  <c r="E13" i="1"/>
  <c r="E14" i="1"/>
  <c r="E17" i="1"/>
  <c r="E18" i="1"/>
  <c r="E16" i="1"/>
  <c r="E11" i="1"/>
  <c r="E9" i="1"/>
  <c r="E3" i="1"/>
  <c r="E4" i="1"/>
  <c r="E5" i="1"/>
  <c r="E6" i="1"/>
  <c r="E7" i="1"/>
  <c r="E8" i="1"/>
  <c r="E2" i="1"/>
  <c r="F16" i="1" l="1"/>
  <c r="F11" i="1" s="1"/>
  <c r="R5" i="1"/>
  <c r="P2" i="1"/>
  <c r="P3" i="1"/>
  <c r="P4" i="1"/>
  <c r="Q2" i="1"/>
  <c r="Q3" i="1"/>
  <c r="Q4" i="1"/>
  <c r="Q5" i="1"/>
  <c r="P5" i="1"/>
  <c r="R2" i="1"/>
  <c r="R3" i="1"/>
  <c r="F13" i="1"/>
  <c r="F14" i="1"/>
  <c r="F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<sst xmlns="http://schemas.openxmlformats.org/spreadsheetml/2006/main" count="214" uniqueCount="59">
  <si>
    <t>品种</t>
  </si>
  <si>
    <t>处理</t>
  </si>
  <si>
    <t>未发芽（发芽势统计）</t>
  </si>
  <si>
    <t>发芽</t>
  </si>
  <si>
    <t>发芽率(%)</t>
  </si>
  <si>
    <t>根长</t>
  </si>
  <si>
    <t>芽长</t>
  </si>
  <si>
    <t>G065</t>
  </si>
  <si>
    <t>T-1</t>
  </si>
  <si>
    <t>T-2</t>
  </si>
  <si>
    <t>T-3</t>
  </si>
  <si>
    <t>CK-1</t>
  </si>
  <si>
    <t>CK-2</t>
  </si>
  <si>
    <t>CK-3</t>
  </si>
  <si>
    <t>G006</t>
  </si>
  <si>
    <t>T-4</t>
  </si>
  <si>
    <t>CK-4</t>
  </si>
  <si>
    <t>发芽势(%)</t>
  </si>
  <si>
    <t>T-4</t>
    <phoneticPr fontId="2" type="noConversion"/>
  </si>
  <si>
    <t>CK-1</t>
    <phoneticPr fontId="2" type="noConversion"/>
  </si>
  <si>
    <t>CK-4</t>
    <phoneticPr fontId="2" type="noConversion"/>
  </si>
  <si>
    <t>品种</t>
    <phoneticPr fontId="2" type="noConversion"/>
  </si>
  <si>
    <t>G065</t>
    <phoneticPr fontId="2" type="noConversion"/>
  </si>
  <si>
    <t>G006</t>
    <phoneticPr fontId="2" type="noConversion"/>
  </si>
  <si>
    <t>根数量</t>
    <phoneticPr fontId="2" type="noConversion"/>
  </si>
  <si>
    <t>相对发芽率</t>
    <phoneticPr fontId="2" type="noConversion"/>
  </si>
  <si>
    <t>相对根长</t>
    <phoneticPr fontId="2" type="noConversion"/>
  </si>
  <si>
    <t>相对芽长</t>
    <phoneticPr fontId="2" type="noConversion"/>
  </si>
  <si>
    <t>G065-1</t>
    <phoneticPr fontId="2" type="noConversion"/>
  </si>
  <si>
    <t>G065-2</t>
  </si>
  <si>
    <t>G065-3</t>
  </si>
  <si>
    <t>G065-4</t>
  </si>
  <si>
    <t>G006-1</t>
    <phoneticPr fontId="2" type="noConversion"/>
  </si>
  <si>
    <t>G006-2</t>
  </si>
  <si>
    <t>G006-3</t>
  </si>
  <si>
    <t>G006-4</t>
  </si>
  <si>
    <t>相对发芽势</t>
    <phoneticPr fontId="2" type="noConversion"/>
  </si>
  <si>
    <t>相对根数量</t>
    <phoneticPr fontId="2" type="noConversion"/>
  </si>
  <si>
    <t>G065-5</t>
  </si>
  <si>
    <t>G065-6</t>
  </si>
  <si>
    <t>G065-7</t>
  </si>
  <si>
    <t>G065-8</t>
  </si>
  <si>
    <t>G065-9</t>
  </si>
  <si>
    <t>G065-10</t>
  </si>
  <si>
    <t>G065-11</t>
  </si>
  <si>
    <t>G065-12</t>
  </si>
  <si>
    <t>G006-5</t>
  </si>
  <si>
    <t>G006-6</t>
  </si>
  <si>
    <t>G006-7</t>
  </si>
  <si>
    <t>G006-8</t>
  </si>
  <si>
    <t>G006-9</t>
  </si>
  <si>
    <t>G006-10</t>
  </si>
  <si>
    <t>G006-11</t>
  </si>
  <si>
    <t>G006-12</t>
  </si>
  <si>
    <t>R-GR</t>
    <phoneticPr fontId="2" type="noConversion"/>
  </si>
  <si>
    <t>R-GE</t>
    <phoneticPr fontId="2" type="noConversion"/>
  </si>
  <si>
    <t>R-SL</t>
    <phoneticPr fontId="2" type="noConversion"/>
  </si>
  <si>
    <t>R-RL</t>
    <phoneticPr fontId="2" type="noConversion"/>
  </si>
  <si>
    <t>R-RN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</si>
</sst>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10" fontId="0" fillId="0" borderId="0" xfId="1" applyNumberFormat="1" applyFont="1" applyAlignmen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10" fontId="0" fillId="2" borderId="1" xfId="1" applyNumberFormat="1" applyFont="1" applyFill="1" applyBorder="1" applyAlignment="1"/>
    <xf numFmtId="10" fontId="0" fillId="0" borderId="1" xfId="1" applyNumberFormat="1" applyFont="1" applyBorder="1" applyAlignment="1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2" borderId="1" xfId="0" applyFill="1" applyBorder="1" applyAlignment="1">
      <alignment horizontal="center"/>
    </xf>
    <xf numFmtId="10" fontId="0" fillId="2" borderId="0" xfId="0" applyNumberFormat="1" applyFill="1"/>
    <xf numFmtId="176" fontId="0" fillId="2" borderId="0" xfId="0" applyNumberFormat="1" applyFill="1"/>
    <xf numFmtId="10" fontId="0" fillId="0" borderId="1" xfId="1" applyNumberFormat="1" applyFont="1" applyFill="1" applyBorder="1" applyAlignment="1"/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opLeftCell="A13" workbookViewId="0">
      <selection activeCell="E22" sqref="E22:F45"/>
    </sheetView>
  </sheetViews>
  <sheetFormatPr defaultRowHeight="14" x14ac:dyDescent="0.3"/>
  <cols>
    <col min="3" max="3" width="10.9140625" customWidth="1"/>
    <col min="5" max="5" width="8.6640625" style="1"/>
    <col min="6" max="6" width="13.33203125" style="1" customWidth="1"/>
  </cols>
  <sheetData>
    <row r="1" spans="1:21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25</v>
      </c>
      <c r="G1" s="3"/>
      <c r="H1" s="3" t="s">
        <v>0</v>
      </c>
      <c r="I1" s="3" t="s">
        <v>1</v>
      </c>
      <c r="J1" s="3" t="s">
        <v>5</v>
      </c>
      <c r="K1" s="3"/>
      <c r="L1" s="3"/>
      <c r="M1" s="3" t="s">
        <v>6</v>
      </c>
      <c r="N1" s="3"/>
      <c r="O1" s="3"/>
      <c r="P1" s="3" t="s">
        <v>26</v>
      </c>
      <c r="Q1" s="3" t="s">
        <v>26</v>
      </c>
      <c r="R1" s="3" t="s">
        <v>26</v>
      </c>
      <c r="S1" s="3" t="s">
        <v>27</v>
      </c>
      <c r="T1" s="3" t="s">
        <v>27</v>
      </c>
      <c r="U1" s="3" t="s">
        <v>27</v>
      </c>
    </row>
    <row r="2" spans="1:21" s="2" customFormat="1" x14ac:dyDescent="0.3">
      <c r="A2" s="3" t="s">
        <v>7</v>
      </c>
      <c r="B2" s="3" t="s">
        <v>8</v>
      </c>
      <c r="C2" s="3">
        <v>7</v>
      </c>
      <c r="D2" s="3">
        <v>41</v>
      </c>
      <c r="E2" s="5">
        <f>D2/50</f>
        <v>0.82</v>
      </c>
      <c r="F2" s="5">
        <f>E2/F7</f>
        <v>0.86315789473684212</v>
      </c>
      <c r="G2" s="3"/>
      <c r="H2" s="3" t="s">
        <v>7</v>
      </c>
      <c r="I2" s="3" t="s">
        <v>8</v>
      </c>
      <c r="J2" s="3">
        <v>2.7</v>
      </c>
      <c r="K2" s="3">
        <v>2.8</v>
      </c>
      <c r="L2" s="3">
        <v>2.7</v>
      </c>
      <c r="M2" s="3">
        <v>4</v>
      </c>
      <c r="N2" s="3">
        <v>4.7</v>
      </c>
      <c r="O2" s="3">
        <v>4.5999999999999996</v>
      </c>
      <c r="P2" s="3">
        <f>J2/Q7</f>
        <v>0.37241379310344835</v>
      </c>
      <c r="Q2" s="3">
        <f>K2/Q7</f>
        <v>0.38620689655172419</v>
      </c>
      <c r="R2" s="3">
        <f>L2/Q7</f>
        <v>0.37241379310344835</v>
      </c>
      <c r="S2" s="3">
        <f>M2/T7</f>
        <v>0.41350792556857335</v>
      </c>
      <c r="T2" s="3">
        <f>N2/T7</f>
        <v>0.48587181254307371</v>
      </c>
      <c r="U2" s="3">
        <f>O2/T7</f>
        <v>0.47553411440385934</v>
      </c>
    </row>
    <row r="3" spans="1:21" s="2" customFormat="1" x14ac:dyDescent="0.3">
      <c r="A3" s="3"/>
      <c r="B3" s="3" t="s">
        <v>9</v>
      </c>
      <c r="C3" s="3">
        <v>5</v>
      </c>
      <c r="D3" s="3">
        <v>45</v>
      </c>
      <c r="E3" s="5">
        <f t="shared" ref="E3:E9" si="0">D3/50</f>
        <v>0.9</v>
      </c>
      <c r="F3" s="5">
        <f>E3/F7</f>
        <v>0.94736842105263164</v>
      </c>
      <c r="G3" s="3">
        <v>0.91611594799999996</v>
      </c>
      <c r="H3" s="3"/>
      <c r="I3" s="3" t="s">
        <v>9</v>
      </c>
      <c r="J3" s="3">
        <v>3.3</v>
      </c>
      <c r="K3" s="3">
        <v>4.2</v>
      </c>
      <c r="L3" s="3">
        <v>2.6</v>
      </c>
      <c r="M3" s="3">
        <v>5.2</v>
      </c>
      <c r="N3" s="3">
        <v>4.7</v>
      </c>
      <c r="O3" s="3">
        <v>5.3</v>
      </c>
      <c r="P3" s="3">
        <f>J3/Q7</f>
        <v>0.45517241379310347</v>
      </c>
      <c r="Q3" s="3">
        <f>K3/Q7</f>
        <v>0.57931034482758625</v>
      </c>
      <c r="R3" s="3">
        <f>L3/Q7</f>
        <v>0.35862068965517246</v>
      </c>
      <c r="S3" s="3">
        <f>M3/T7</f>
        <v>0.53756030323914539</v>
      </c>
      <c r="T3" s="3">
        <f>N3/T7</f>
        <v>0.48587181254307371</v>
      </c>
      <c r="U3" s="3">
        <f>O3/T7</f>
        <v>0.54789800137835976</v>
      </c>
    </row>
    <row r="4" spans="1:21" s="2" customFormat="1" x14ac:dyDescent="0.3">
      <c r="A4" s="3"/>
      <c r="B4" s="3" t="s">
        <v>10</v>
      </c>
      <c r="C4" s="3">
        <v>5</v>
      </c>
      <c r="D4" s="3">
        <v>45</v>
      </c>
      <c r="E4" s="5">
        <f t="shared" si="0"/>
        <v>0.9</v>
      </c>
      <c r="F4" s="5">
        <f>E4/F7</f>
        <v>0.94736842105263164</v>
      </c>
      <c r="G4" s="3"/>
      <c r="H4" s="3"/>
      <c r="I4" s="3" t="s">
        <v>10</v>
      </c>
      <c r="J4" s="3">
        <v>3.1</v>
      </c>
      <c r="K4" s="3">
        <v>3.7</v>
      </c>
      <c r="L4" s="3">
        <v>2.5</v>
      </c>
      <c r="M4" s="3">
        <v>4.5</v>
      </c>
      <c r="N4" s="3">
        <v>4.5</v>
      </c>
      <c r="O4" s="3">
        <v>5.2</v>
      </c>
      <c r="P4" s="3">
        <f>J4/Q7</f>
        <v>0.4275862068965518</v>
      </c>
      <c r="Q4" s="3">
        <f>K4/Q7</f>
        <v>0.51034482758620703</v>
      </c>
      <c r="R4" s="3">
        <f>L4/Q7</f>
        <v>0.34482758620689657</v>
      </c>
      <c r="S4" s="3">
        <f>M4/T7</f>
        <v>0.46519641626464503</v>
      </c>
      <c r="T4" s="3">
        <f>N4/T7</f>
        <v>0.46519641626464503</v>
      </c>
      <c r="U4" s="3">
        <f>O4/T7</f>
        <v>0.53756030323914539</v>
      </c>
    </row>
    <row r="5" spans="1:21" s="2" customFormat="1" x14ac:dyDescent="0.3">
      <c r="A5" s="3"/>
      <c r="B5" s="3" t="s">
        <v>18</v>
      </c>
      <c r="C5" s="3">
        <v>7</v>
      </c>
      <c r="D5" s="3">
        <v>43</v>
      </c>
      <c r="E5" s="5">
        <f t="shared" si="0"/>
        <v>0.86</v>
      </c>
      <c r="F5" s="5">
        <f>E5/F7</f>
        <v>0.90526315789473688</v>
      </c>
      <c r="G5" s="3"/>
      <c r="H5" s="3"/>
      <c r="I5" s="3" t="s">
        <v>18</v>
      </c>
      <c r="J5" s="3">
        <v>2.5</v>
      </c>
      <c r="K5" s="3">
        <v>2.1</v>
      </c>
      <c r="L5" s="3">
        <v>3.2</v>
      </c>
      <c r="M5" s="3">
        <v>4.0999999999999996</v>
      </c>
      <c r="N5" s="3">
        <v>3.7</v>
      </c>
      <c r="O5" s="3">
        <v>4.2</v>
      </c>
      <c r="P5" s="3">
        <f>J5/Q7</f>
        <v>0.34482758620689657</v>
      </c>
      <c r="Q5" s="3">
        <f>K5/Q7</f>
        <v>0.28965517241379313</v>
      </c>
      <c r="R5" s="3">
        <f>L5/Q7</f>
        <v>0.44137931034482769</v>
      </c>
      <c r="S5" s="3">
        <f>M5/T7</f>
        <v>0.42384562370778767</v>
      </c>
      <c r="T5" s="3">
        <f>N5/T7</f>
        <v>0.38249483115093041</v>
      </c>
      <c r="U5" s="3">
        <f>O5/T7</f>
        <v>0.43418332184700209</v>
      </c>
    </row>
    <row r="6" spans="1:21" x14ac:dyDescent="0.3">
      <c r="A6" s="4"/>
      <c r="B6" s="4" t="s">
        <v>11</v>
      </c>
      <c r="C6" s="4">
        <v>2</v>
      </c>
      <c r="D6" s="4">
        <v>48</v>
      </c>
      <c r="E6" s="6">
        <f t="shared" si="0"/>
        <v>0.96</v>
      </c>
      <c r="F6" s="6"/>
      <c r="G6" s="4"/>
      <c r="H6" s="4"/>
      <c r="I6" s="4" t="s">
        <v>11</v>
      </c>
      <c r="J6" s="4">
        <v>6.2</v>
      </c>
      <c r="K6" s="4">
        <v>9.8000000000000007</v>
      </c>
      <c r="L6" s="4">
        <v>8.3000000000000007</v>
      </c>
      <c r="M6" s="4">
        <v>9.3000000000000007</v>
      </c>
      <c r="N6" s="4">
        <v>9.4</v>
      </c>
      <c r="O6" s="4">
        <v>9.4</v>
      </c>
      <c r="P6" s="4"/>
      <c r="Q6" s="4"/>
      <c r="R6" s="4"/>
      <c r="S6" s="4"/>
      <c r="T6" s="4"/>
      <c r="U6" s="4"/>
    </row>
    <row r="7" spans="1:21" x14ac:dyDescent="0.3">
      <c r="A7" s="4"/>
      <c r="B7" s="4" t="s">
        <v>12</v>
      </c>
      <c r="C7" s="4">
        <v>2</v>
      </c>
      <c r="D7" s="4">
        <v>48</v>
      </c>
      <c r="E7" s="6">
        <f t="shared" si="0"/>
        <v>0.96</v>
      </c>
      <c r="F7" s="6">
        <f>AVERAGE(E6:E9)</f>
        <v>0.95</v>
      </c>
      <c r="G7" s="4"/>
      <c r="H7" s="4"/>
      <c r="I7" s="4" t="s">
        <v>12</v>
      </c>
      <c r="J7" s="4">
        <v>7.3</v>
      </c>
      <c r="K7" s="4">
        <v>7.5</v>
      </c>
      <c r="L7" s="4">
        <v>6.5</v>
      </c>
      <c r="M7" s="4">
        <v>9.8000000000000007</v>
      </c>
      <c r="N7" s="4">
        <v>8.1999999999999993</v>
      </c>
      <c r="O7" s="4">
        <v>8.4</v>
      </c>
      <c r="P7" s="4"/>
      <c r="Q7" s="4">
        <f>AVERAGE(J6:L9)</f>
        <v>7.2499999999999991</v>
      </c>
      <c r="R7" s="4"/>
      <c r="S7" s="4"/>
      <c r="T7" s="4" cm="1">
        <f t="array" ref="T7">AVERAGE(M6:O9+E11)</f>
        <v>9.6733333333333338</v>
      </c>
      <c r="U7" s="4"/>
    </row>
    <row r="8" spans="1:21" x14ac:dyDescent="0.3">
      <c r="A8" s="4"/>
      <c r="B8" s="4" t="s">
        <v>13</v>
      </c>
      <c r="C8" s="4">
        <v>3</v>
      </c>
      <c r="D8" s="4">
        <v>47</v>
      </c>
      <c r="E8" s="6">
        <f t="shared" si="0"/>
        <v>0.94</v>
      </c>
      <c r="F8" s="6"/>
      <c r="G8" s="4"/>
      <c r="H8" s="4"/>
      <c r="I8" s="4" t="s">
        <v>13</v>
      </c>
      <c r="J8" s="4">
        <v>6.7</v>
      </c>
      <c r="K8" s="4">
        <v>8.1999999999999993</v>
      </c>
      <c r="L8" s="4">
        <v>5.5</v>
      </c>
      <c r="M8" s="4">
        <v>8.8000000000000007</v>
      </c>
      <c r="N8" s="4">
        <v>9.5</v>
      </c>
      <c r="O8" s="4">
        <v>9.6999999999999993</v>
      </c>
      <c r="P8" s="4"/>
      <c r="Q8" s="4"/>
      <c r="R8" s="4"/>
      <c r="S8" s="4"/>
      <c r="T8" s="4"/>
      <c r="U8" s="4"/>
    </row>
    <row r="9" spans="1:21" x14ac:dyDescent="0.3">
      <c r="A9" s="4"/>
      <c r="B9" s="4" t="s">
        <v>20</v>
      </c>
      <c r="C9" s="4">
        <v>3</v>
      </c>
      <c r="D9" s="4">
        <v>47</v>
      </c>
      <c r="E9" s="6">
        <f t="shared" si="0"/>
        <v>0.94</v>
      </c>
      <c r="F9" s="6"/>
      <c r="G9" s="4"/>
      <c r="H9" s="4"/>
      <c r="I9" s="4" t="s">
        <v>20</v>
      </c>
      <c r="J9" s="4">
        <v>6.6</v>
      </c>
      <c r="K9" s="4">
        <v>7.3</v>
      </c>
      <c r="L9" s="4">
        <v>7.1</v>
      </c>
      <c r="M9" s="4">
        <v>8.1</v>
      </c>
      <c r="N9" s="4">
        <v>8.5</v>
      </c>
      <c r="O9" s="4">
        <v>8.1</v>
      </c>
      <c r="P9" s="4"/>
      <c r="Q9" s="4"/>
      <c r="R9" s="4"/>
      <c r="S9" s="4"/>
      <c r="T9" s="4"/>
      <c r="U9" s="4"/>
    </row>
    <row r="10" spans="1:21" x14ac:dyDescent="0.3">
      <c r="A10" s="4"/>
      <c r="B10" s="4"/>
      <c r="C10" s="4"/>
      <c r="D10" s="4"/>
      <c r="E10" s="6"/>
      <c r="F10" s="6"/>
      <c r="G10" s="4"/>
      <c r="H10" s="4"/>
      <c r="I10" s="4" t="s">
        <v>1</v>
      </c>
      <c r="J10" s="4" t="s">
        <v>5</v>
      </c>
      <c r="K10" s="4"/>
      <c r="L10" s="4"/>
      <c r="M10" s="4" t="s">
        <v>6</v>
      </c>
      <c r="N10" s="4"/>
      <c r="O10" s="4"/>
      <c r="P10" s="3" t="s">
        <v>26</v>
      </c>
      <c r="Q10" s="3" t="s">
        <v>26</v>
      </c>
      <c r="R10" s="3" t="s">
        <v>26</v>
      </c>
      <c r="S10" s="3" t="s">
        <v>27</v>
      </c>
      <c r="T10" s="3" t="s">
        <v>27</v>
      </c>
      <c r="U10" s="3" t="s">
        <v>27</v>
      </c>
    </row>
    <row r="11" spans="1:21" s="2" customFormat="1" x14ac:dyDescent="0.3">
      <c r="A11" s="3" t="s">
        <v>14</v>
      </c>
      <c r="B11" s="3" t="s">
        <v>8</v>
      </c>
      <c r="C11" s="3">
        <v>13</v>
      </c>
      <c r="D11" s="3">
        <v>37</v>
      </c>
      <c r="E11" s="5">
        <f>D11/50</f>
        <v>0.74</v>
      </c>
      <c r="F11" s="5">
        <f>E11/F16</f>
        <v>0.82681564245810057</v>
      </c>
      <c r="G11" s="3"/>
      <c r="H11" s="3" t="s">
        <v>14</v>
      </c>
      <c r="I11" s="3" t="s">
        <v>8</v>
      </c>
      <c r="J11" s="3">
        <v>2</v>
      </c>
      <c r="K11" s="3">
        <v>0.5</v>
      </c>
      <c r="L11" s="3">
        <v>0</v>
      </c>
      <c r="M11" s="3">
        <v>2</v>
      </c>
      <c r="N11" s="3">
        <v>2.4</v>
      </c>
      <c r="O11" s="3">
        <v>2</v>
      </c>
      <c r="P11" s="3">
        <f>J11/Q16</f>
        <v>0.27334851936218674</v>
      </c>
      <c r="Q11" s="3">
        <f>K11/Q16</f>
        <v>6.8337129840546684E-2</v>
      </c>
      <c r="R11" s="3">
        <f>L11/Q16</f>
        <v>0</v>
      </c>
      <c r="S11" s="3">
        <f>M11/T16</f>
        <v>0.40540540540540537</v>
      </c>
      <c r="T11" s="3">
        <f>N11/T16</f>
        <v>0.48648648648648646</v>
      </c>
      <c r="U11" s="3">
        <f>O11/T16</f>
        <v>0.40540540540540537</v>
      </c>
    </row>
    <row r="12" spans="1:21" s="2" customFormat="1" x14ac:dyDescent="0.3">
      <c r="A12" s="3"/>
      <c r="B12" s="3" t="s">
        <v>9</v>
      </c>
      <c r="C12" s="3">
        <v>13</v>
      </c>
      <c r="D12" s="3">
        <v>37</v>
      </c>
      <c r="E12" s="5">
        <f t="shared" ref="E12:E15" si="1">D12/50</f>
        <v>0.74</v>
      </c>
      <c r="F12" s="5">
        <f>E12/F16</f>
        <v>0.82681564245810057</v>
      </c>
      <c r="G12" s="3">
        <v>0.84612130299999999</v>
      </c>
      <c r="H12" s="3"/>
      <c r="I12" s="3" t="s">
        <v>9</v>
      </c>
      <c r="J12" s="3">
        <v>1.3</v>
      </c>
      <c r="K12" s="3">
        <v>1.7</v>
      </c>
      <c r="L12" s="3">
        <v>1.7</v>
      </c>
      <c r="M12" s="3">
        <v>1.5</v>
      </c>
      <c r="N12" s="3">
        <v>1.5</v>
      </c>
      <c r="O12" s="3">
        <v>1.8</v>
      </c>
      <c r="P12" s="3">
        <f>J12/Q16</f>
        <v>0.1776765375854214</v>
      </c>
      <c r="Q12" s="3">
        <f>K12/Q16</f>
        <v>0.23234624145785873</v>
      </c>
      <c r="R12" s="3">
        <f>L12/Q16</f>
        <v>0.23234624145785873</v>
      </c>
      <c r="S12" s="3">
        <f>M12/T16</f>
        <v>0.30405405405405406</v>
      </c>
      <c r="T12" s="3">
        <f>N12/T16</f>
        <v>0.30405405405405406</v>
      </c>
      <c r="U12" s="3">
        <f>O12/T16</f>
        <v>0.36486486486486486</v>
      </c>
    </row>
    <row r="13" spans="1:21" s="2" customFormat="1" x14ac:dyDescent="0.3">
      <c r="A13" s="3"/>
      <c r="B13" s="3" t="s">
        <v>10</v>
      </c>
      <c r="C13" s="3">
        <v>14</v>
      </c>
      <c r="D13" s="3">
        <v>36</v>
      </c>
      <c r="E13" s="5">
        <f t="shared" si="1"/>
        <v>0.72</v>
      </c>
      <c r="F13" s="5">
        <f>E13/F16</f>
        <v>0.80446927374301669</v>
      </c>
      <c r="G13" s="3"/>
      <c r="H13" s="3"/>
      <c r="I13" s="3" t="s">
        <v>10</v>
      </c>
      <c r="J13" s="3">
        <v>2.2999999999999998</v>
      </c>
      <c r="K13" s="3">
        <v>2.7</v>
      </c>
      <c r="L13" s="3">
        <v>0</v>
      </c>
      <c r="M13" s="3">
        <v>2.2999999999999998</v>
      </c>
      <c r="N13" s="3">
        <v>2</v>
      </c>
      <c r="O13" s="3">
        <v>2.2999999999999998</v>
      </c>
      <c r="P13" s="3">
        <f>J13/Q16</f>
        <v>0.31435079726651477</v>
      </c>
      <c r="Q13" s="3">
        <f>K13/Q16</f>
        <v>0.36902050113895213</v>
      </c>
      <c r="R13" s="3">
        <f>L13/Q16</f>
        <v>0</v>
      </c>
      <c r="S13" s="3">
        <f>M13/T16</f>
        <v>0.46621621621621617</v>
      </c>
      <c r="T13" s="3">
        <f>N13/T16</f>
        <v>0.40540540540540537</v>
      </c>
      <c r="U13" s="3">
        <f>O13/T16</f>
        <v>0.46621621621621617</v>
      </c>
    </row>
    <row r="14" spans="1:21" s="2" customFormat="1" x14ac:dyDescent="0.3">
      <c r="A14" s="3"/>
      <c r="B14" s="3" t="s">
        <v>15</v>
      </c>
      <c r="C14" s="3">
        <v>11</v>
      </c>
      <c r="D14" s="3">
        <v>39</v>
      </c>
      <c r="E14" s="5">
        <f t="shared" si="1"/>
        <v>0.78</v>
      </c>
      <c r="F14" s="5">
        <f>E14/F16</f>
        <v>0.87150837988826813</v>
      </c>
      <c r="G14" s="3"/>
      <c r="H14" s="3"/>
      <c r="I14" s="3" t="s">
        <v>18</v>
      </c>
      <c r="J14" s="3">
        <v>2.1</v>
      </c>
      <c r="K14" s="3">
        <v>1.3</v>
      </c>
      <c r="L14" s="3">
        <v>1.1000000000000001</v>
      </c>
      <c r="M14" s="3">
        <v>1.5</v>
      </c>
      <c r="N14" s="3">
        <v>1.5</v>
      </c>
      <c r="O14" s="3">
        <v>2</v>
      </c>
      <c r="P14" s="3">
        <f>J14/Q16</f>
        <v>0.28701594533029612</v>
      </c>
      <c r="Q14" s="3">
        <f>K14/Q16</f>
        <v>0.1776765375854214</v>
      </c>
      <c r="R14" s="3">
        <f>L14/Q16</f>
        <v>0.15034168564920272</v>
      </c>
      <c r="S14" s="3">
        <f>M14/T16</f>
        <v>0.30405405405405406</v>
      </c>
      <c r="T14" s="3">
        <f>N14/T16</f>
        <v>0.30405405405405406</v>
      </c>
      <c r="U14" s="3">
        <f>O14/T16</f>
        <v>0.40540540540540537</v>
      </c>
    </row>
    <row r="15" spans="1:21" x14ac:dyDescent="0.3">
      <c r="A15" s="4"/>
      <c r="B15" s="4" t="s">
        <v>19</v>
      </c>
      <c r="C15" s="4">
        <v>5</v>
      </c>
      <c r="D15" s="4">
        <f>50-C15</f>
        <v>45</v>
      </c>
      <c r="E15" s="5">
        <f t="shared" si="1"/>
        <v>0.9</v>
      </c>
      <c r="F15" s="6"/>
      <c r="G15" s="4"/>
      <c r="H15" s="4"/>
      <c r="I15" s="4" t="s">
        <v>11</v>
      </c>
      <c r="J15" s="4">
        <v>7.5</v>
      </c>
      <c r="K15" s="4">
        <v>9.5</v>
      </c>
      <c r="L15" s="4">
        <v>8.3000000000000007</v>
      </c>
      <c r="M15" s="4">
        <v>4</v>
      </c>
      <c r="N15" s="4">
        <v>4</v>
      </c>
      <c r="O15" s="4">
        <v>5.2</v>
      </c>
      <c r="P15" s="4"/>
      <c r="Q15" s="4"/>
      <c r="R15" s="4"/>
      <c r="S15" s="4"/>
      <c r="T15" s="4"/>
      <c r="U15" s="4"/>
    </row>
    <row r="16" spans="1:21" x14ac:dyDescent="0.3">
      <c r="A16" s="4"/>
      <c r="B16" s="4" t="s">
        <v>12</v>
      </c>
      <c r="C16" s="4">
        <v>6</v>
      </c>
      <c r="D16" s="4">
        <f t="shared" ref="D16:D18" si="2">50-C16</f>
        <v>44</v>
      </c>
      <c r="E16" s="6">
        <f>D16/50</f>
        <v>0.88</v>
      </c>
      <c r="F16" s="6">
        <f>AVERAGE(E15:E18)</f>
        <v>0.89500000000000002</v>
      </c>
      <c r="G16" s="4"/>
      <c r="H16" s="4"/>
      <c r="I16" s="4" t="s">
        <v>12</v>
      </c>
      <c r="J16" s="4">
        <v>7.8</v>
      </c>
      <c r="K16" s="4">
        <v>7.7</v>
      </c>
      <c r="L16" s="4">
        <v>7.2</v>
      </c>
      <c r="M16" s="4">
        <v>4.7</v>
      </c>
      <c r="N16" s="4">
        <v>4.0999999999999996</v>
      </c>
      <c r="O16" s="4">
        <v>4.7</v>
      </c>
      <c r="P16" s="4"/>
      <c r="Q16" s="4">
        <f>AVERAGE(J15:L18)</f>
        <v>7.3166666666666673</v>
      </c>
      <c r="R16" s="4"/>
      <c r="S16" s="4"/>
      <c r="T16" s="4">
        <f>AVERAGE(M15:O18)</f>
        <v>4.9333333333333336</v>
      </c>
      <c r="U16" s="4"/>
    </row>
    <row r="17" spans="1:21" x14ac:dyDescent="0.3">
      <c r="A17" s="4"/>
      <c r="B17" s="4" t="s">
        <v>13</v>
      </c>
      <c r="C17" s="4">
        <v>4</v>
      </c>
      <c r="D17" s="4">
        <f t="shared" si="2"/>
        <v>46</v>
      </c>
      <c r="E17" s="6">
        <f t="shared" ref="E17:E18" si="3">D17/50</f>
        <v>0.92</v>
      </c>
      <c r="F17" s="6"/>
      <c r="G17" s="4"/>
      <c r="H17" s="4"/>
      <c r="I17" s="4" t="s">
        <v>13</v>
      </c>
      <c r="J17" s="4">
        <v>6.7</v>
      </c>
      <c r="K17" s="4">
        <v>7.2</v>
      </c>
      <c r="L17" s="4">
        <v>4.4000000000000004</v>
      </c>
      <c r="M17" s="4">
        <v>4.5</v>
      </c>
      <c r="N17" s="4">
        <v>4.5999999999999996</v>
      </c>
      <c r="O17" s="4">
        <v>5</v>
      </c>
      <c r="P17" s="4"/>
      <c r="Q17" s="4"/>
      <c r="R17" s="4"/>
      <c r="S17" s="4"/>
      <c r="T17" s="4"/>
      <c r="U17" s="4"/>
    </row>
    <row r="18" spans="1:21" x14ac:dyDescent="0.3">
      <c r="A18" s="4"/>
      <c r="B18" s="4" t="s">
        <v>16</v>
      </c>
      <c r="C18" s="4">
        <v>6</v>
      </c>
      <c r="D18" s="4">
        <f t="shared" si="2"/>
        <v>44</v>
      </c>
      <c r="E18" s="6">
        <f t="shared" si="3"/>
        <v>0.88</v>
      </c>
      <c r="F18" s="6"/>
      <c r="G18" s="4"/>
      <c r="H18" s="4"/>
      <c r="I18" s="4" t="s">
        <v>20</v>
      </c>
      <c r="J18" s="4">
        <v>7.2</v>
      </c>
      <c r="K18" s="4">
        <v>8.1</v>
      </c>
      <c r="L18" s="4">
        <v>6.2</v>
      </c>
      <c r="M18" s="4">
        <v>7.1</v>
      </c>
      <c r="N18" s="4">
        <v>5.0999999999999996</v>
      </c>
      <c r="O18" s="4">
        <v>6.2</v>
      </c>
      <c r="P18" s="4"/>
      <c r="Q18" s="4"/>
      <c r="R18" s="4"/>
      <c r="S18" s="4"/>
      <c r="T18" s="4"/>
      <c r="U18" s="4"/>
    </row>
    <row r="21" spans="1:21" x14ac:dyDescent="0.3">
      <c r="A21" s="8" t="s">
        <v>25</v>
      </c>
      <c r="B21" s="8"/>
      <c r="C21" s="8"/>
      <c r="D21" s="8"/>
      <c r="E21" s="8" t="s">
        <v>26</v>
      </c>
      <c r="F21" s="9" t="s">
        <v>27</v>
      </c>
    </row>
    <row r="22" spans="1:21" x14ac:dyDescent="0.3">
      <c r="A22" s="10" t="s">
        <v>28</v>
      </c>
      <c r="B22" s="1">
        <v>0.86315789473684212</v>
      </c>
      <c r="C22" s="8"/>
      <c r="D22" s="10" t="s">
        <v>28</v>
      </c>
      <c r="E22">
        <v>0.37241379310344835</v>
      </c>
      <c r="F22">
        <v>0.41350792556857335</v>
      </c>
    </row>
    <row r="23" spans="1:21" x14ac:dyDescent="0.3">
      <c r="A23" s="10" t="s">
        <v>29</v>
      </c>
      <c r="B23" s="1">
        <v>0.94736842105263164</v>
      </c>
      <c r="C23" s="8"/>
      <c r="D23" s="10" t="s">
        <v>29</v>
      </c>
      <c r="E23">
        <v>0.38620689655172419</v>
      </c>
      <c r="F23">
        <v>0.48587181254307371</v>
      </c>
    </row>
    <row r="24" spans="1:21" x14ac:dyDescent="0.3">
      <c r="A24" s="10" t="s">
        <v>30</v>
      </c>
      <c r="B24" s="1">
        <v>0.94736842105263164</v>
      </c>
      <c r="C24" s="8"/>
      <c r="D24" s="10" t="s">
        <v>30</v>
      </c>
      <c r="E24">
        <v>0.37241379310344835</v>
      </c>
      <c r="F24">
        <v>0.47553411440385934</v>
      </c>
    </row>
    <row r="25" spans="1:21" x14ac:dyDescent="0.3">
      <c r="A25" s="10" t="s">
        <v>31</v>
      </c>
      <c r="B25" s="1">
        <v>0.90526315789473688</v>
      </c>
      <c r="C25" s="8"/>
      <c r="D25" s="10" t="s">
        <v>31</v>
      </c>
      <c r="E25">
        <v>0.45517241379310347</v>
      </c>
      <c r="F25">
        <v>0.53756030323914539</v>
      </c>
    </row>
    <row r="26" spans="1:21" x14ac:dyDescent="0.3">
      <c r="A26" s="8" t="s">
        <v>32</v>
      </c>
      <c r="B26" s="1">
        <v>0.82681564245810057</v>
      </c>
      <c r="C26" s="8"/>
      <c r="D26" s="10" t="s">
        <v>38</v>
      </c>
      <c r="E26">
        <v>0.57931034482758625</v>
      </c>
      <c r="F26">
        <v>0.48587181254307371</v>
      </c>
    </row>
    <row r="27" spans="1:21" x14ac:dyDescent="0.3">
      <c r="A27" s="8" t="s">
        <v>33</v>
      </c>
      <c r="B27" s="1">
        <v>0.82681564245810057</v>
      </c>
      <c r="C27" s="8"/>
      <c r="D27" s="10" t="s">
        <v>39</v>
      </c>
      <c r="E27">
        <v>0.35862068965517246</v>
      </c>
      <c r="F27">
        <v>0.54789800137835976</v>
      </c>
    </row>
    <row r="28" spans="1:21" x14ac:dyDescent="0.3">
      <c r="A28" s="8" t="s">
        <v>34</v>
      </c>
      <c r="B28" s="1">
        <v>0.80446927374301669</v>
      </c>
      <c r="C28" s="8"/>
      <c r="D28" s="10" t="s">
        <v>40</v>
      </c>
      <c r="E28">
        <v>0.4275862068965518</v>
      </c>
      <c r="F28">
        <v>0.46519641626464503</v>
      </c>
    </row>
    <row r="29" spans="1:21" x14ac:dyDescent="0.3">
      <c r="A29" s="8" t="s">
        <v>35</v>
      </c>
      <c r="B29" s="1">
        <v>0.87150837988826813</v>
      </c>
      <c r="C29" s="8"/>
      <c r="D29" s="10" t="s">
        <v>41</v>
      </c>
      <c r="E29">
        <v>0.51034482758620703</v>
      </c>
      <c r="F29">
        <v>0.46519641626464503</v>
      </c>
    </row>
    <row r="30" spans="1:21" x14ac:dyDescent="0.3">
      <c r="D30" s="10" t="s">
        <v>42</v>
      </c>
      <c r="E30">
        <v>0.34482758620689657</v>
      </c>
      <c r="F30">
        <v>0.53756030323914539</v>
      </c>
    </row>
    <row r="31" spans="1:21" x14ac:dyDescent="0.3">
      <c r="D31" s="10" t="s">
        <v>43</v>
      </c>
      <c r="E31">
        <v>0.34482758620689657</v>
      </c>
      <c r="F31">
        <v>0.42384562370778767</v>
      </c>
    </row>
    <row r="32" spans="1:21" x14ac:dyDescent="0.3">
      <c r="D32" s="10" t="s">
        <v>44</v>
      </c>
      <c r="E32">
        <v>0.28965517241379313</v>
      </c>
      <c r="F32">
        <v>0.38249483115093041</v>
      </c>
    </row>
    <row r="33" spans="4:6" x14ac:dyDescent="0.3">
      <c r="D33" s="10" t="s">
        <v>45</v>
      </c>
      <c r="E33">
        <v>0.44137931034482769</v>
      </c>
      <c r="F33">
        <v>0.43418332184700209</v>
      </c>
    </row>
    <row r="34" spans="4:6" x14ac:dyDescent="0.3">
      <c r="D34" s="8" t="s">
        <v>32</v>
      </c>
      <c r="E34">
        <v>0.27334851936218674</v>
      </c>
      <c r="F34">
        <v>0.40540540540540537</v>
      </c>
    </row>
    <row r="35" spans="4:6" x14ac:dyDescent="0.3">
      <c r="D35" s="8" t="s">
        <v>33</v>
      </c>
      <c r="E35">
        <v>6.8337129840546684E-2</v>
      </c>
      <c r="F35">
        <v>0.48648648648648646</v>
      </c>
    </row>
    <row r="36" spans="4:6" x14ac:dyDescent="0.3">
      <c r="D36" s="8" t="s">
        <v>34</v>
      </c>
      <c r="E36">
        <v>0</v>
      </c>
      <c r="F36">
        <v>0.40540540540540537</v>
      </c>
    </row>
    <row r="37" spans="4:6" x14ac:dyDescent="0.3">
      <c r="D37" s="8" t="s">
        <v>35</v>
      </c>
      <c r="E37">
        <v>0.1776765375854214</v>
      </c>
      <c r="F37">
        <v>0.30405405405405406</v>
      </c>
    </row>
    <row r="38" spans="4:6" x14ac:dyDescent="0.3">
      <c r="D38" s="8" t="s">
        <v>46</v>
      </c>
      <c r="E38">
        <v>0.23234624145785873</v>
      </c>
      <c r="F38">
        <v>0.30405405405405406</v>
      </c>
    </row>
    <row r="39" spans="4:6" x14ac:dyDescent="0.3">
      <c r="D39" s="8" t="s">
        <v>47</v>
      </c>
      <c r="E39">
        <v>0.36902050113895213</v>
      </c>
      <c r="F39">
        <v>0.36486486486486486</v>
      </c>
    </row>
    <row r="40" spans="4:6" x14ac:dyDescent="0.3">
      <c r="D40" s="8" t="s">
        <v>48</v>
      </c>
      <c r="E40">
        <v>0.31435079726651477</v>
      </c>
      <c r="F40">
        <v>0.46621621621621617</v>
      </c>
    </row>
    <row r="41" spans="4:6" x14ac:dyDescent="0.3">
      <c r="D41" s="8" t="s">
        <v>49</v>
      </c>
      <c r="E41">
        <v>0.36902050113895213</v>
      </c>
      <c r="F41">
        <v>0.40540540540540537</v>
      </c>
    </row>
    <row r="42" spans="4:6" x14ac:dyDescent="0.3">
      <c r="D42" s="8" t="s">
        <v>50</v>
      </c>
      <c r="E42">
        <v>0</v>
      </c>
      <c r="F42">
        <v>0.46621621621621617</v>
      </c>
    </row>
    <row r="43" spans="4:6" x14ac:dyDescent="0.3">
      <c r="D43" s="8" t="s">
        <v>51</v>
      </c>
      <c r="E43">
        <v>0.28701594533029612</v>
      </c>
      <c r="F43">
        <v>0.30405405405405406</v>
      </c>
    </row>
    <row r="44" spans="4:6" x14ac:dyDescent="0.3">
      <c r="D44" s="8" t="s">
        <v>52</v>
      </c>
      <c r="E44">
        <v>0.1776765375854214</v>
      </c>
      <c r="F44">
        <v>0.30405405405405406</v>
      </c>
    </row>
    <row r="45" spans="4:6" x14ac:dyDescent="0.3">
      <c r="D45" s="8" t="s">
        <v>53</v>
      </c>
      <c r="E45">
        <v>0.15034168564920272</v>
      </c>
      <c r="F45">
        <v>0.40540540540540537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8EB4-E52F-4279-8839-0B1073B8F9C7}">
  <dimension ref="A1:F29"/>
  <sheetViews>
    <sheetView workbookViewId="0">
      <selection activeCell="B22" sqref="B22:B29"/>
    </sheetView>
  </sheetViews>
  <sheetFormatPr defaultRowHeight="14" x14ac:dyDescent="0.3"/>
  <cols>
    <col min="6" max="6" width="20.25" bestFit="1" customWidth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36</v>
      </c>
    </row>
    <row r="2" spans="1:6" s="2" customFormat="1" x14ac:dyDescent="0.3">
      <c r="A2" s="2" t="s">
        <v>7</v>
      </c>
      <c r="B2" s="2" t="s">
        <v>8</v>
      </c>
      <c r="C2" s="2">
        <v>23</v>
      </c>
      <c r="D2" s="2">
        <f>50-C2</f>
        <v>27</v>
      </c>
      <c r="E2" s="11">
        <f>D2/50</f>
        <v>0.54</v>
      </c>
      <c r="F2" s="12">
        <f>E2/F7</f>
        <v>0.65454545454545465</v>
      </c>
    </row>
    <row r="3" spans="1:6" s="2" customFormat="1" x14ac:dyDescent="0.3">
      <c r="B3" s="2" t="s">
        <v>9</v>
      </c>
      <c r="C3" s="2">
        <v>18</v>
      </c>
      <c r="D3" s="2">
        <f t="shared" ref="D3:D16" si="0">50-C3</f>
        <v>32</v>
      </c>
      <c r="E3" s="11">
        <f t="shared" ref="E3:E17" si="1">D3/50</f>
        <v>0.64</v>
      </c>
      <c r="F3" s="12">
        <f>E3/F7</f>
        <v>0.77575757575757587</v>
      </c>
    </row>
    <row r="4" spans="1:6" s="2" customFormat="1" x14ac:dyDescent="0.3">
      <c r="B4" s="2" t="s">
        <v>10</v>
      </c>
      <c r="C4" s="2">
        <v>21</v>
      </c>
      <c r="D4" s="2">
        <f t="shared" si="0"/>
        <v>29</v>
      </c>
      <c r="E4" s="11">
        <f t="shared" si="1"/>
        <v>0.57999999999999996</v>
      </c>
      <c r="F4" s="12">
        <f>E4/F7</f>
        <v>0.70303030303030301</v>
      </c>
    </row>
    <row r="5" spans="1:6" s="2" customFormat="1" x14ac:dyDescent="0.3">
      <c r="B5" s="2" t="s">
        <v>18</v>
      </c>
      <c r="C5" s="2">
        <v>22</v>
      </c>
      <c r="D5" s="2">
        <f t="shared" si="0"/>
        <v>28</v>
      </c>
      <c r="E5" s="11">
        <f t="shared" si="1"/>
        <v>0.56000000000000005</v>
      </c>
      <c r="F5" s="12">
        <f>E5/F7</f>
        <v>0.67878787878787894</v>
      </c>
    </row>
    <row r="6" spans="1:6" x14ac:dyDescent="0.3">
      <c r="B6" t="s">
        <v>11</v>
      </c>
      <c r="C6">
        <v>6</v>
      </c>
      <c r="D6">
        <f t="shared" si="0"/>
        <v>44</v>
      </c>
      <c r="E6" s="7">
        <f t="shared" si="1"/>
        <v>0.88</v>
      </c>
    </row>
    <row r="7" spans="1:6" x14ac:dyDescent="0.3">
      <c r="B7" t="s">
        <v>12</v>
      </c>
      <c r="C7">
        <v>8</v>
      </c>
      <c r="D7">
        <f t="shared" si="0"/>
        <v>42</v>
      </c>
      <c r="E7" s="7">
        <f t="shared" si="1"/>
        <v>0.84</v>
      </c>
      <c r="F7" s="7">
        <f>AVERAGE(E6:E9)</f>
        <v>0.82499999999999996</v>
      </c>
    </row>
    <row r="8" spans="1:6" x14ac:dyDescent="0.3">
      <c r="B8" t="s">
        <v>13</v>
      </c>
      <c r="C8">
        <v>11</v>
      </c>
      <c r="D8">
        <f t="shared" si="0"/>
        <v>39</v>
      </c>
      <c r="E8" s="7">
        <f t="shared" si="1"/>
        <v>0.78</v>
      </c>
    </row>
    <row r="9" spans="1:6" x14ac:dyDescent="0.3">
      <c r="B9" t="s">
        <v>16</v>
      </c>
      <c r="C9">
        <v>10</v>
      </c>
      <c r="D9">
        <f t="shared" si="0"/>
        <v>40</v>
      </c>
      <c r="E9" s="7">
        <f t="shared" si="1"/>
        <v>0.8</v>
      </c>
    </row>
    <row r="10" spans="1:6" s="2" customFormat="1" x14ac:dyDescent="0.3">
      <c r="A10" s="2" t="s">
        <v>14</v>
      </c>
      <c r="B10" s="2" t="s">
        <v>8</v>
      </c>
      <c r="C10" s="2">
        <v>40</v>
      </c>
      <c r="D10" s="2">
        <f t="shared" si="0"/>
        <v>10</v>
      </c>
      <c r="E10" s="11">
        <f t="shared" si="1"/>
        <v>0.2</v>
      </c>
      <c r="F10" s="12">
        <f>E10/F15</f>
        <v>0.40816326530612246</v>
      </c>
    </row>
    <row r="11" spans="1:6" s="2" customFormat="1" x14ac:dyDescent="0.3">
      <c r="B11" s="2" t="s">
        <v>9</v>
      </c>
      <c r="C11" s="2">
        <v>34</v>
      </c>
      <c r="D11" s="2">
        <f t="shared" si="0"/>
        <v>16</v>
      </c>
      <c r="E11" s="11">
        <f t="shared" si="1"/>
        <v>0.32</v>
      </c>
      <c r="F11" s="12">
        <f>E11/F7</f>
        <v>0.38787878787878793</v>
      </c>
    </row>
    <row r="12" spans="1:6" s="2" customFormat="1" x14ac:dyDescent="0.3">
      <c r="B12" s="2" t="s">
        <v>10</v>
      </c>
      <c r="C12" s="2">
        <v>32</v>
      </c>
      <c r="D12" s="2">
        <f t="shared" si="0"/>
        <v>18</v>
      </c>
      <c r="E12" s="11">
        <f t="shared" si="1"/>
        <v>0.36</v>
      </c>
      <c r="F12" s="12">
        <f>E12/F7</f>
        <v>0.4363636363636364</v>
      </c>
    </row>
    <row r="13" spans="1:6" s="2" customFormat="1" x14ac:dyDescent="0.3">
      <c r="B13" s="2" t="s">
        <v>15</v>
      </c>
      <c r="C13" s="2">
        <v>37</v>
      </c>
      <c r="D13" s="2">
        <f t="shared" si="0"/>
        <v>13</v>
      </c>
      <c r="E13" s="11">
        <f t="shared" si="1"/>
        <v>0.26</v>
      </c>
      <c r="F13" s="12">
        <f>E13/F7</f>
        <v>0.31515151515151518</v>
      </c>
    </row>
    <row r="14" spans="1:6" x14ac:dyDescent="0.3">
      <c r="B14" t="s">
        <v>11</v>
      </c>
      <c r="C14">
        <v>22</v>
      </c>
      <c r="D14">
        <f t="shared" si="0"/>
        <v>28</v>
      </c>
      <c r="E14" s="7">
        <f t="shared" si="1"/>
        <v>0.56000000000000005</v>
      </c>
    </row>
    <row r="15" spans="1:6" x14ac:dyDescent="0.3">
      <c r="B15" t="s">
        <v>12</v>
      </c>
      <c r="C15">
        <v>21</v>
      </c>
      <c r="D15">
        <f t="shared" si="0"/>
        <v>29</v>
      </c>
      <c r="E15" s="7">
        <f t="shared" si="1"/>
        <v>0.57999999999999996</v>
      </c>
      <c r="F15" s="7">
        <f>AVERAGE(E14:E17)</f>
        <v>0.49</v>
      </c>
    </row>
    <row r="16" spans="1:6" x14ac:dyDescent="0.3">
      <c r="B16" t="s">
        <v>13</v>
      </c>
      <c r="C16">
        <v>31</v>
      </c>
      <c r="D16">
        <f t="shared" si="0"/>
        <v>19</v>
      </c>
      <c r="E16" s="7">
        <f t="shared" si="1"/>
        <v>0.38</v>
      </c>
    </row>
    <row r="17" spans="1:5" x14ac:dyDescent="0.3">
      <c r="B17" t="s">
        <v>16</v>
      </c>
      <c r="C17">
        <v>28</v>
      </c>
      <c r="D17">
        <f>50-C17</f>
        <v>22</v>
      </c>
      <c r="E17" s="7">
        <f t="shared" si="1"/>
        <v>0.44</v>
      </c>
    </row>
    <row r="21" spans="1:5" x14ac:dyDescent="0.3">
      <c r="A21" s="8" t="s">
        <v>36</v>
      </c>
      <c r="B21" s="8"/>
    </row>
    <row r="22" spans="1:5" x14ac:dyDescent="0.3">
      <c r="A22" s="10" t="s">
        <v>28</v>
      </c>
      <c r="B22" s="9">
        <v>0.65454545454545465</v>
      </c>
    </row>
    <row r="23" spans="1:5" x14ac:dyDescent="0.3">
      <c r="A23" s="10" t="s">
        <v>29</v>
      </c>
      <c r="B23" s="9">
        <v>0.77575757575757587</v>
      </c>
    </row>
    <row r="24" spans="1:5" x14ac:dyDescent="0.3">
      <c r="A24" s="10" t="s">
        <v>30</v>
      </c>
      <c r="B24" s="9">
        <v>0.70303030303030301</v>
      </c>
    </row>
    <row r="25" spans="1:5" x14ac:dyDescent="0.3">
      <c r="A25" s="10" t="s">
        <v>31</v>
      </c>
      <c r="B25" s="9">
        <v>0.67878787878787894</v>
      </c>
    </row>
    <row r="26" spans="1:5" x14ac:dyDescent="0.3">
      <c r="A26" s="8" t="s">
        <v>32</v>
      </c>
      <c r="B26" s="9">
        <v>0.40816326530612246</v>
      </c>
    </row>
    <row r="27" spans="1:5" x14ac:dyDescent="0.3">
      <c r="A27" s="8" t="s">
        <v>33</v>
      </c>
      <c r="B27" s="9">
        <v>0.38787878787878793</v>
      </c>
    </row>
    <row r="28" spans="1:5" x14ac:dyDescent="0.3">
      <c r="A28" s="8" t="s">
        <v>34</v>
      </c>
      <c r="B28" s="9">
        <v>0.4363636363636364</v>
      </c>
    </row>
    <row r="29" spans="1:5" x14ac:dyDescent="0.3">
      <c r="A29" s="8" t="s">
        <v>35</v>
      </c>
      <c r="B29" s="9">
        <v>0.31515151515151518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2AF8-919C-4D16-950A-59E1A1150FC7}">
  <dimension ref="A1:J45"/>
  <sheetViews>
    <sheetView topLeftCell="A19" workbookViewId="0">
      <selection activeCell="B22" sqref="B22:B45"/>
    </sheetView>
  </sheetViews>
  <sheetFormatPr defaultRowHeight="14" x14ac:dyDescent="0.3"/>
  <sheetData>
    <row r="1" spans="1:10" x14ac:dyDescent="0.3">
      <c r="A1" s="4" t="s">
        <v>21</v>
      </c>
      <c r="B1" s="4" t="s">
        <v>1</v>
      </c>
      <c r="C1" s="4" t="s">
        <v>24</v>
      </c>
      <c r="D1" s="4" t="s">
        <v>24</v>
      </c>
      <c r="E1" s="4" t="s">
        <v>24</v>
      </c>
      <c r="F1" s="4"/>
      <c r="G1" s="4"/>
      <c r="H1" s="4"/>
      <c r="I1" s="4"/>
    </row>
    <row r="2" spans="1:10" x14ac:dyDescent="0.3">
      <c r="A2" s="4" t="s">
        <v>22</v>
      </c>
      <c r="B2" s="4" t="s">
        <v>8</v>
      </c>
      <c r="C2" s="4">
        <v>3</v>
      </c>
      <c r="D2" s="4">
        <v>3</v>
      </c>
      <c r="E2" s="4">
        <v>3</v>
      </c>
      <c r="F2" s="13">
        <f>C2/5.25</f>
        <v>0.5714285714285714</v>
      </c>
      <c r="G2" s="13">
        <f t="shared" ref="G2:I2" si="0">D2/5.25</f>
        <v>0.5714285714285714</v>
      </c>
      <c r="H2" s="13">
        <f t="shared" si="0"/>
        <v>0.5714285714285714</v>
      </c>
      <c r="I2" s="13"/>
      <c r="J2" s="7"/>
    </row>
    <row r="3" spans="1:10" x14ac:dyDescent="0.3">
      <c r="A3" s="4"/>
      <c r="B3" s="4" t="s">
        <v>9</v>
      </c>
      <c r="C3" s="4">
        <v>3</v>
      </c>
      <c r="D3" s="4">
        <v>4</v>
      </c>
      <c r="E3" s="4">
        <v>3</v>
      </c>
      <c r="F3" s="13">
        <f t="shared" ref="F3:F5" si="1">C3/5.25</f>
        <v>0.5714285714285714</v>
      </c>
      <c r="G3" s="13">
        <f t="shared" ref="G3:G5" si="2">D3/5.25</f>
        <v>0.76190476190476186</v>
      </c>
      <c r="H3" s="13">
        <f t="shared" ref="H3:H5" si="3">E3/5.25</f>
        <v>0.5714285714285714</v>
      </c>
      <c r="I3" s="13"/>
      <c r="J3" s="7"/>
    </row>
    <row r="4" spans="1:10" x14ac:dyDescent="0.3">
      <c r="A4" s="4"/>
      <c r="B4" s="4" t="s">
        <v>10</v>
      </c>
      <c r="C4" s="4">
        <v>4</v>
      </c>
      <c r="D4" s="4">
        <v>3</v>
      </c>
      <c r="E4" s="4">
        <v>4</v>
      </c>
      <c r="F4" s="13">
        <f t="shared" si="1"/>
        <v>0.76190476190476186</v>
      </c>
      <c r="G4" s="13">
        <f t="shared" si="2"/>
        <v>0.5714285714285714</v>
      </c>
      <c r="H4" s="13">
        <f t="shared" si="3"/>
        <v>0.76190476190476186</v>
      </c>
      <c r="I4" s="13"/>
      <c r="J4" s="7"/>
    </row>
    <row r="5" spans="1:10" x14ac:dyDescent="0.3">
      <c r="A5" s="4"/>
      <c r="B5" s="4" t="s">
        <v>18</v>
      </c>
      <c r="C5" s="4">
        <v>3</v>
      </c>
      <c r="D5" s="4">
        <v>4</v>
      </c>
      <c r="E5" s="4">
        <v>3</v>
      </c>
      <c r="F5" s="13">
        <f t="shared" si="1"/>
        <v>0.5714285714285714</v>
      </c>
      <c r="G5" s="13">
        <f t="shared" si="2"/>
        <v>0.76190476190476186</v>
      </c>
      <c r="H5" s="13">
        <f t="shared" si="3"/>
        <v>0.5714285714285714</v>
      </c>
      <c r="I5" s="13"/>
      <c r="J5" s="7"/>
    </row>
    <row r="6" spans="1:10" x14ac:dyDescent="0.3">
      <c r="A6" s="3"/>
      <c r="B6" s="3" t="s">
        <v>11</v>
      </c>
      <c r="C6" s="3">
        <v>4</v>
      </c>
      <c r="D6" s="3">
        <v>5</v>
      </c>
      <c r="E6" s="3">
        <v>4</v>
      </c>
      <c r="F6" s="3"/>
      <c r="G6" s="3"/>
      <c r="H6" s="3"/>
      <c r="I6" s="3"/>
    </row>
    <row r="7" spans="1:10" x14ac:dyDescent="0.3">
      <c r="A7" s="3"/>
      <c r="B7" s="3" t="s">
        <v>12</v>
      </c>
      <c r="C7" s="3">
        <v>6</v>
      </c>
      <c r="D7" s="3">
        <v>5</v>
      </c>
      <c r="E7" s="3">
        <v>6</v>
      </c>
      <c r="F7" s="3"/>
      <c r="G7" s="3">
        <f>AVERAGE(C6:E9)</f>
        <v>5.25</v>
      </c>
      <c r="H7" s="3"/>
      <c r="I7" s="3"/>
    </row>
    <row r="8" spans="1:10" x14ac:dyDescent="0.3">
      <c r="A8" s="3"/>
      <c r="B8" s="3" t="s">
        <v>13</v>
      </c>
      <c r="C8" s="3">
        <v>6</v>
      </c>
      <c r="D8" s="3">
        <v>3</v>
      </c>
      <c r="E8" s="3">
        <v>5</v>
      </c>
      <c r="F8" s="3"/>
      <c r="G8" s="3"/>
      <c r="H8" s="3"/>
      <c r="I8" s="3"/>
    </row>
    <row r="9" spans="1:10" x14ac:dyDescent="0.3">
      <c r="A9" s="3"/>
      <c r="B9" s="3" t="s">
        <v>20</v>
      </c>
      <c r="C9" s="3">
        <v>6</v>
      </c>
      <c r="D9" s="3">
        <v>7</v>
      </c>
      <c r="E9" s="3">
        <v>6</v>
      </c>
      <c r="F9" s="3"/>
      <c r="G9" s="3"/>
      <c r="H9" s="3"/>
      <c r="I9" s="3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10" x14ac:dyDescent="0.3">
      <c r="A11" s="4" t="s">
        <v>23</v>
      </c>
      <c r="B11" s="4" t="s">
        <v>8</v>
      </c>
      <c r="C11" s="4">
        <v>1</v>
      </c>
      <c r="D11" s="4">
        <v>1</v>
      </c>
      <c r="E11" s="4">
        <v>1</v>
      </c>
      <c r="F11" s="13">
        <f>C11/5.08</f>
        <v>0.19685039370078738</v>
      </c>
      <c r="G11" s="13">
        <f t="shared" ref="G11:I11" si="4">D11/5.08</f>
        <v>0.19685039370078738</v>
      </c>
      <c r="H11" s="13">
        <f t="shared" si="4"/>
        <v>0.19685039370078738</v>
      </c>
      <c r="I11" s="13"/>
      <c r="J11" s="7"/>
    </row>
    <row r="12" spans="1:10" x14ac:dyDescent="0.3">
      <c r="A12" s="4"/>
      <c r="B12" s="4" t="s">
        <v>9</v>
      </c>
      <c r="C12" s="4">
        <v>2</v>
      </c>
      <c r="D12" s="4">
        <v>1</v>
      </c>
      <c r="E12" s="4">
        <v>2</v>
      </c>
      <c r="F12" s="13">
        <f t="shared" ref="F12:F14" si="5">C12/5.08</f>
        <v>0.39370078740157477</v>
      </c>
      <c r="G12" s="13">
        <f t="shared" ref="G12:G14" si="6">D12/5.08</f>
        <v>0.19685039370078738</v>
      </c>
      <c r="H12" s="13">
        <f t="shared" ref="H12:H14" si="7">E12/5.08</f>
        <v>0.39370078740157477</v>
      </c>
      <c r="I12" s="13"/>
      <c r="J12" s="7"/>
    </row>
    <row r="13" spans="1:10" x14ac:dyDescent="0.3">
      <c r="A13" s="4"/>
      <c r="B13" s="4" t="s">
        <v>10</v>
      </c>
      <c r="C13" s="4">
        <v>1</v>
      </c>
      <c r="D13" s="4">
        <v>2</v>
      </c>
      <c r="E13" s="4">
        <v>2</v>
      </c>
      <c r="F13" s="13">
        <f t="shared" si="5"/>
        <v>0.19685039370078738</v>
      </c>
      <c r="G13" s="13">
        <f t="shared" si="6"/>
        <v>0.39370078740157477</v>
      </c>
      <c r="H13" s="13">
        <f t="shared" si="7"/>
        <v>0.39370078740157477</v>
      </c>
      <c r="I13" s="13"/>
      <c r="J13" s="7"/>
    </row>
    <row r="14" spans="1:10" x14ac:dyDescent="0.3">
      <c r="A14" s="4"/>
      <c r="B14" s="4" t="s">
        <v>15</v>
      </c>
      <c r="C14" s="4">
        <v>1</v>
      </c>
      <c r="D14" s="4">
        <v>1</v>
      </c>
      <c r="E14" s="4">
        <v>1</v>
      </c>
      <c r="F14" s="13">
        <f t="shared" si="5"/>
        <v>0.19685039370078738</v>
      </c>
      <c r="G14" s="13">
        <f t="shared" si="6"/>
        <v>0.19685039370078738</v>
      </c>
      <c r="H14" s="13">
        <f t="shared" si="7"/>
        <v>0.19685039370078738</v>
      </c>
      <c r="I14" s="13"/>
      <c r="J14" s="7"/>
    </row>
    <row r="15" spans="1:10" x14ac:dyDescent="0.3">
      <c r="A15" s="3"/>
      <c r="B15" s="3" t="s">
        <v>19</v>
      </c>
      <c r="C15" s="3">
        <v>5</v>
      </c>
      <c r="D15" s="3">
        <v>4</v>
      </c>
      <c r="E15" s="3">
        <v>4</v>
      </c>
      <c r="F15" s="3"/>
      <c r="G15" s="3"/>
      <c r="H15" s="3"/>
      <c r="I15" s="3"/>
    </row>
    <row r="16" spans="1:10" x14ac:dyDescent="0.3">
      <c r="A16" s="3"/>
      <c r="B16" s="3" t="s">
        <v>12</v>
      </c>
      <c r="C16" s="3">
        <v>5</v>
      </c>
      <c r="D16" s="3">
        <v>6</v>
      </c>
      <c r="E16" s="3">
        <v>5</v>
      </c>
      <c r="F16" s="3"/>
      <c r="G16" s="3">
        <f>AVERAGE(C15:E18)</f>
        <v>5.083333333333333</v>
      </c>
      <c r="H16" s="3"/>
      <c r="I16" s="3"/>
    </row>
    <row r="17" spans="1:9" x14ac:dyDescent="0.3">
      <c r="A17" s="3"/>
      <c r="B17" s="3" t="s">
        <v>13</v>
      </c>
      <c r="C17" s="3">
        <v>5</v>
      </c>
      <c r="D17" s="3">
        <v>6</v>
      </c>
      <c r="E17" s="3">
        <v>6</v>
      </c>
      <c r="F17" s="3"/>
      <c r="G17" s="3"/>
      <c r="H17" s="3"/>
      <c r="I17" s="3"/>
    </row>
    <row r="18" spans="1:9" x14ac:dyDescent="0.3">
      <c r="A18" s="3"/>
      <c r="B18" s="3" t="s">
        <v>16</v>
      </c>
      <c r="C18" s="3">
        <v>4</v>
      </c>
      <c r="D18" s="3">
        <v>6</v>
      </c>
      <c r="E18" s="3">
        <v>5</v>
      </c>
      <c r="F18" s="3"/>
      <c r="G18" s="3"/>
      <c r="H18" s="3"/>
      <c r="I18" s="3"/>
    </row>
    <row r="21" spans="1:9" x14ac:dyDescent="0.3">
      <c r="A21" s="14"/>
      <c r="B21" s="14" t="s">
        <v>37</v>
      </c>
      <c r="C21" s="9"/>
    </row>
    <row r="22" spans="1:9" x14ac:dyDescent="0.3">
      <c r="A22" s="10" t="s">
        <v>28</v>
      </c>
      <c r="B22">
        <v>0.5714285714285714</v>
      </c>
    </row>
    <row r="23" spans="1:9" x14ac:dyDescent="0.3">
      <c r="A23" s="10" t="s">
        <v>29</v>
      </c>
      <c r="B23">
        <v>0.5714285714285714</v>
      </c>
    </row>
    <row r="24" spans="1:9" x14ac:dyDescent="0.3">
      <c r="A24" s="10" t="s">
        <v>30</v>
      </c>
      <c r="B24">
        <v>0.5714285714285714</v>
      </c>
    </row>
    <row r="25" spans="1:9" x14ac:dyDescent="0.3">
      <c r="A25" s="10" t="s">
        <v>31</v>
      </c>
      <c r="B25">
        <v>0.5714285714285714</v>
      </c>
    </row>
    <row r="26" spans="1:9" x14ac:dyDescent="0.3">
      <c r="A26" s="10" t="s">
        <v>38</v>
      </c>
      <c r="B26">
        <v>0.76190476190476186</v>
      </c>
    </row>
    <row r="27" spans="1:9" x14ac:dyDescent="0.3">
      <c r="A27" s="10" t="s">
        <v>39</v>
      </c>
      <c r="B27">
        <v>0.5714285714285714</v>
      </c>
    </row>
    <row r="28" spans="1:9" x14ac:dyDescent="0.3">
      <c r="A28" s="10" t="s">
        <v>40</v>
      </c>
      <c r="B28">
        <v>0.76190476190476186</v>
      </c>
    </row>
    <row r="29" spans="1:9" x14ac:dyDescent="0.3">
      <c r="A29" s="10" t="s">
        <v>41</v>
      </c>
      <c r="B29">
        <v>0.5714285714285714</v>
      </c>
    </row>
    <row r="30" spans="1:9" x14ac:dyDescent="0.3">
      <c r="A30" s="10" t="s">
        <v>42</v>
      </c>
      <c r="B30">
        <v>0.76190476190476186</v>
      </c>
    </row>
    <row r="31" spans="1:9" x14ac:dyDescent="0.3">
      <c r="A31" s="10" t="s">
        <v>43</v>
      </c>
      <c r="B31">
        <v>0.5714285714285714</v>
      </c>
    </row>
    <row r="32" spans="1:9" x14ac:dyDescent="0.3">
      <c r="A32" s="10" t="s">
        <v>44</v>
      </c>
      <c r="B32">
        <v>0.76190476190476186</v>
      </c>
    </row>
    <row r="33" spans="1:2" x14ac:dyDescent="0.3">
      <c r="A33" s="10" t="s">
        <v>45</v>
      </c>
      <c r="B33">
        <v>0.5714285714285714</v>
      </c>
    </row>
    <row r="34" spans="1:2" x14ac:dyDescent="0.3">
      <c r="A34" s="8" t="s">
        <v>32</v>
      </c>
      <c r="B34">
        <v>0.19685039370078738</v>
      </c>
    </row>
    <row r="35" spans="1:2" x14ac:dyDescent="0.3">
      <c r="A35" s="8" t="s">
        <v>33</v>
      </c>
      <c r="B35">
        <v>0.19685039370078738</v>
      </c>
    </row>
    <row r="36" spans="1:2" x14ac:dyDescent="0.3">
      <c r="A36" s="8" t="s">
        <v>34</v>
      </c>
      <c r="B36">
        <v>0.19685039370078738</v>
      </c>
    </row>
    <row r="37" spans="1:2" x14ac:dyDescent="0.3">
      <c r="A37" s="8" t="s">
        <v>35</v>
      </c>
      <c r="B37">
        <v>0.39370078740157477</v>
      </c>
    </row>
    <row r="38" spans="1:2" x14ac:dyDescent="0.3">
      <c r="A38" s="8" t="s">
        <v>46</v>
      </c>
      <c r="B38">
        <v>0.19685039370078738</v>
      </c>
    </row>
    <row r="39" spans="1:2" x14ac:dyDescent="0.3">
      <c r="A39" s="8" t="s">
        <v>47</v>
      </c>
      <c r="B39">
        <v>0.39370078740157477</v>
      </c>
    </row>
    <row r="40" spans="1:2" x14ac:dyDescent="0.3">
      <c r="A40" s="8" t="s">
        <v>48</v>
      </c>
      <c r="B40">
        <v>0.19685039370078738</v>
      </c>
    </row>
    <row r="41" spans="1:2" x14ac:dyDescent="0.3">
      <c r="A41" s="8" t="s">
        <v>49</v>
      </c>
      <c r="B41">
        <v>0.39370078740157477</v>
      </c>
    </row>
    <row r="42" spans="1:2" x14ac:dyDescent="0.3">
      <c r="A42" s="8" t="s">
        <v>50</v>
      </c>
      <c r="B42">
        <v>0.39370078740157477</v>
      </c>
    </row>
    <row r="43" spans="1:2" x14ac:dyDescent="0.3">
      <c r="A43" s="8" t="s">
        <v>51</v>
      </c>
      <c r="B43">
        <v>0.19685039370078738</v>
      </c>
    </row>
    <row r="44" spans="1:2" x14ac:dyDescent="0.3">
      <c r="A44" s="8" t="s">
        <v>52</v>
      </c>
      <c r="B44">
        <v>0.19685039370078738</v>
      </c>
    </row>
    <row r="45" spans="1:2" x14ac:dyDescent="0.3">
      <c r="A45" s="8" t="s">
        <v>53</v>
      </c>
      <c r="B45">
        <v>0.19685039370078738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8DC8-7C5B-4C57-BB8E-96A21B46FB33}">
  <dimension ref="A1:G26"/>
  <sheetViews>
    <sheetView tabSelected="1" workbookViewId="0">
      <selection activeCell="H10" sqref="H10"/>
    </sheetView>
  </sheetViews>
  <sheetFormatPr defaultRowHeight="14" x14ac:dyDescent="0.3"/>
  <cols>
    <col min="2" max="3" width="10.4140625" bestFit="1" customWidth="1"/>
  </cols>
  <sheetData>
    <row r="1" spans="1:7" x14ac:dyDescent="0.3">
      <c r="A1" s="15"/>
      <c r="B1" s="16" t="s">
        <v>54</v>
      </c>
      <c r="C1" s="16" t="s">
        <v>55</v>
      </c>
      <c r="D1" s="16"/>
      <c r="E1" s="16" t="s">
        <v>57</v>
      </c>
      <c r="F1" s="17" t="s">
        <v>56</v>
      </c>
      <c r="G1" s="16" t="s">
        <v>58</v>
      </c>
    </row>
    <row r="2" spans="1:7" x14ac:dyDescent="0.3">
      <c r="A2" s="18" t="s">
        <v>28</v>
      </c>
      <c r="B2" s="17">
        <v>0.86315789473684212</v>
      </c>
      <c r="C2" s="17">
        <v>0.65454545454545465</v>
      </c>
      <c r="D2" s="18" t="s">
        <v>28</v>
      </c>
      <c r="E2" s="15">
        <v>0.37241379310344835</v>
      </c>
      <c r="F2" s="15">
        <v>0.41350792556857335</v>
      </c>
      <c r="G2" s="15">
        <v>0.5714285714285714</v>
      </c>
    </row>
    <row r="3" spans="1:7" x14ac:dyDescent="0.3">
      <c r="A3" s="18" t="s">
        <v>29</v>
      </c>
      <c r="B3" s="17">
        <v>0.94736842105263164</v>
      </c>
      <c r="C3" s="17">
        <v>0.77575757575757587</v>
      </c>
      <c r="D3" s="18" t="s">
        <v>29</v>
      </c>
      <c r="E3" s="15">
        <v>0.38620689655172419</v>
      </c>
      <c r="F3" s="15">
        <v>0.48587181254307371</v>
      </c>
      <c r="G3" s="15">
        <v>0.5714285714285714</v>
      </c>
    </row>
    <row r="4" spans="1:7" x14ac:dyDescent="0.3">
      <c r="A4" s="18" t="s">
        <v>30</v>
      </c>
      <c r="B4" s="17">
        <v>0.94736842105263164</v>
      </c>
      <c r="C4" s="17">
        <v>0.70303030303030301</v>
      </c>
      <c r="D4" s="18" t="s">
        <v>30</v>
      </c>
      <c r="E4" s="15">
        <v>0.37241379310344835</v>
      </c>
      <c r="F4" s="15">
        <v>0.47553411440385934</v>
      </c>
      <c r="G4" s="15">
        <v>0.5714285714285714</v>
      </c>
    </row>
    <row r="5" spans="1:7" x14ac:dyDescent="0.3">
      <c r="A5" s="18" t="s">
        <v>31</v>
      </c>
      <c r="B5" s="17">
        <v>0.90526315789473688</v>
      </c>
      <c r="C5" s="17">
        <v>0.67878787878787894</v>
      </c>
      <c r="D5" s="18" t="s">
        <v>31</v>
      </c>
      <c r="E5" s="15">
        <v>0.45517241379310347</v>
      </c>
      <c r="F5" s="15">
        <v>0.53756030323914539</v>
      </c>
      <c r="G5" s="15">
        <v>0.5714285714285714</v>
      </c>
    </row>
    <row r="6" spans="1:7" x14ac:dyDescent="0.3">
      <c r="A6" s="16" t="s">
        <v>32</v>
      </c>
      <c r="B6" s="17">
        <v>0.82681564245810057</v>
      </c>
      <c r="C6" s="17">
        <v>0.40816326530612246</v>
      </c>
      <c r="D6" s="18" t="s">
        <v>38</v>
      </c>
      <c r="E6" s="15">
        <v>0.57931034482758625</v>
      </c>
      <c r="F6" s="15">
        <v>0.48587181254307371</v>
      </c>
      <c r="G6" s="15">
        <v>0.76190476190476186</v>
      </c>
    </row>
    <row r="7" spans="1:7" x14ac:dyDescent="0.3">
      <c r="A7" s="16" t="s">
        <v>33</v>
      </c>
      <c r="B7" s="17">
        <v>0.82681564245810057</v>
      </c>
      <c r="C7" s="17">
        <v>0.38787878787878793</v>
      </c>
      <c r="D7" s="18" t="s">
        <v>39</v>
      </c>
      <c r="E7" s="15">
        <v>0.35862068965517246</v>
      </c>
      <c r="F7" s="15">
        <v>0.54789800137835976</v>
      </c>
      <c r="G7" s="15">
        <v>0.5714285714285714</v>
      </c>
    </row>
    <row r="8" spans="1:7" x14ac:dyDescent="0.3">
      <c r="A8" s="16" t="s">
        <v>34</v>
      </c>
      <c r="B8" s="17">
        <v>0.80446927374301669</v>
      </c>
      <c r="C8" s="17">
        <v>0.4363636363636364</v>
      </c>
      <c r="D8" s="18" t="s">
        <v>40</v>
      </c>
      <c r="E8" s="15">
        <v>0.4275862068965518</v>
      </c>
      <c r="F8" s="15">
        <v>0.46519641626464503</v>
      </c>
      <c r="G8" s="15">
        <v>0.76190476190476186</v>
      </c>
    </row>
    <row r="9" spans="1:7" x14ac:dyDescent="0.3">
      <c r="A9" s="16" t="s">
        <v>35</v>
      </c>
      <c r="B9" s="17">
        <v>0.87150837988826813</v>
      </c>
      <c r="C9" s="17">
        <v>0.31515151515151518</v>
      </c>
      <c r="D9" s="18" t="s">
        <v>41</v>
      </c>
      <c r="E9" s="15">
        <v>0.51034482758620703</v>
      </c>
      <c r="F9" s="15">
        <v>0.46519641626464503</v>
      </c>
      <c r="G9" s="15">
        <v>0.5714285714285714</v>
      </c>
    </row>
    <row r="10" spans="1:7" x14ac:dyDescent="0.3">
      <c r="A10" s="15"/>
      <c r="B10" s="15"/>
      <c r="C10" s="15"/>
      <c r="D10" s="18" t="s">
        <v>42</v>
      </c>
      <c r="E10" s="15">
        <v>0.34482758620689657</v>
      </c>
      <c r="F10" s="15">
        <v>0.53756030323914539</v>
      </c>
      <c r="G10" s="15">
        <v>0.76190476190476186</v>
      </c>
    </row>
    <row r="11" spans="1:7" x14ac:dyDescent="0.3">
      <c r="A11" s="15"/>
      <c r="B11" s="15"/>
      <c r="C11" s="15"/>
      <c r="D11" s="18" t="s">
        <v>43</v>
      </c>
      <c r="E11" s="15">
        <v>0.34482758620689657</v>
      </c>
      <c r="F11" s="15">
        <v>0.42384562370778767</v>
      </c>
      <c r="G11" s="15">
        <v>0.5714285714285714</v>
      </c>
    </row>
    <row r="12" spans="1:7" x14ac:dyDescent="0.3">
      <c r="A12" s="15"/>
      <c r="B12" s="15"/>
      <c r="C12" s="15"/>
      <c r="D12" s="18" t="s">
        <v>44</v>
      </c>
      <c r="E12" s="15">
        <v>0.28965517241379313</v>
      </c>
      <c r="F12" s="15">
        <v>0.38249483115093041</v>
      </c>
      <c r="G12" s="15">
        <v>0.76190476190476186</v>
      </c>
    </row>
    <row r="13" spans="1:7" x14ac:dyDescent="0.3">
      <c r="A13" s="15"/>
      <c r="B13" s="15"/>
      <c r="C13" s="15"/>
      <c r="D13" s="18" t="s">
        <v>45</v>
      </c>
      <c r="E13" s="15">
        <v>0.44137931034482769</v>
      </c>
      <c r="F13" s="15">
        <v>0.43418332184700209</v>
      </c>
      <c r="G13" s="15">
        <v>0.5714285714285714</v>
      </c>
    </row>
    <row r="14" spans="1:7" x14ac:dyDescent="0.3">
      <c r="A14" s="15"/>
      <c r="B14" s="15"/>
      <c r="C14" s="15"/>
      <c r="D14" s="16" t="s">
        <v>32</v>
      </c>
      <c r="E14" s="15">
        <v>0.27334851936218674</v>
      </c>
      <c r="F14" s="15">
        <v>0.40540540540540537</v>
      </c>
      <c r="G14" s="15">
        <v>0.19685039370078738</v>
      </c>
    </row>
    <row r="15" spans="1:7" x14ac:dyDescent="0.3">
      <c r="A15" s="15"/>
      <c r="B15" s="15"/>
      <c r="C15" s="15"/>
      <c r="D15" s="16" t="s">
        <v>33</v>
      </c>
      <c r="E15" s="15">
        <v>6.8337129840546684E-2</v>
      </c>
      <c r="F15" s="15">
        <v>0.48648648648648646</v>
      </c>
      <c r="G15" s="15">
        <v>0.19685039370078738</v>
      </c>
    </row>
    <row r="16" spans="1:7" x14ac:dyDescent="0.3">
      <c r="A16" s="15"/>
      <c r="B16" s="15"/>
      <c r="C16" s="15"/>
      <c r="D16" s="16" t="s">
        <v>34</v>
      </c>
      <c r="E16" s="15">
        <v>0</v>
      </c>
      <c r="F16" s="15">
        <v>0.40540540540540537</v>
      </c>
      <c r="G16" s="15">
        <v>0.19685039370078738</v>
      </c>
    </row>
    <row r="17" spans="1:7" x14ac:dyDescent="0.3">
      <c r="A17" s="15"/>
      <c r="B17" s="15"/>
      <c r="C17" s="15"/>
      <c r="D17" s="16" t="s">
        <v>35</v>
      </c>
      <c r="E17" s="15">
        <v>0.1776765375854214</v>
      </c>
      <c r="F17" s="15">
        <v>0.30405405405405406</v>
      </c>
      <c r="G17" s="15">
        <v>0.39370078740157477</v>
      </c>
    </row>
    <row r="18" spans="1:7" x14ac:dyDescent="0.3">
      <c r="A18" s="15"/>
      <c r="B18" s="15"/>
      <c r="C18" s="15"/>
      <c r="D18" s="16" t="s">
        <v>46</v>
      </c>
      <c r="E18" s="15">
        <v>0.23234624145785873</v>
      </c>
      <c r="F18" s="15">
        <v>0.30405405405405406</v>
      </c>
      <c r="G18" s="15">
        <v>0.19685039370078738</v>
      </c>
    </row>
    <row r="19" spans="1:7" x14ac:dyDescent="0.3">
      <c r="A19" s="15"/>
      <c r="B19" s="15"/>
      <c r="C19" s="15"/>
      <c r="D19" s="16" t="s">
        <v>47</v>
      </c>
      <c r="E19" s="15">
        <v>0.36902050113895213</v>
      </c>
      <c r="F19" s="15">
        <v>0.36486486486486486</v>
      </c>
      <c r="G19" s="15">
        <v>0.39370078740157477</v>
      </c>
    </row>
    <row r="20" spans="1:7" x14ac:dyDescent="0.3">
      <c r="A20" s="15"/>
      <c r="B20" s="15"/>
      <c r="C20" s="15"/>
      <c r="D20" s="16" t="s">
        <v>48</v>
      </c>
      <c r="E20" s="15">
        <v>0.31435079726651477</v>
      </c>
      <c r="F20" s="15">
        <v>0.46621621621621617</v>
      </c>
      <c r="G20" s="15">
        <v>0.19685039370078738</v>
      </c>
    </row>
    <row r="21" spans="1:7" x14ac:dyDescent="0.3">
      <c r="A21" s="15"/>
      <c r="B21" s="15"/>
      <c r="C21" s="15"/>
      <c r="D21" s="16" t="s">
        <v>49</v>
      </c>
      <c r="E21" s="15">
        <v>0.36902050113895213</v>
      </c>
      <c r="F21" s="15">
        <v>0.40540540540540537</v>
      </c>
      <c r="G21" s="15">
        <v>0.39370078740157477</v>
      </c>
    </row>
    <row r="22" spans="1:7" x14ac:dyDescent="0.3">
      <c r="A22" s="15"/>
      <c r="B22" s="15"/>
      <c r="C22" s="15"/>
      <c r="D22" s="16" t="s">
        <v>50</v>
      </c>
      <c r="E22" s="15">
        <v>0</v>
      </c>
      <c r="F22" s="15">
        <v>0.46621621621621617</v>
      </c>
      <c r="G22" s="15">
        <v>0.39370078740157477</v>
      </c>
    </row>
    <row r="23" spans="1:7" x14ac:dyDescent="0.3">
      <c r="A23" s="15"/>
      <c r="B23" s="15"/>
      <c r="C23" s="15"/>
      <c r="D23" s="16" t="s">
        <v>51</v>
      </c>
      <c r="E23" s="15">
        <v>0.28701594533029612</v>
      </c>
      <c r="F23" s="15">
        <v>0.30405405405405406</v>
      </c>
      <c r="G23" s="15">
        <v>0.19685039370078738</v>
      </c>
    </row>
    <row r="24" spans="1:7" x14ac:dyDescent="0.3">
      <c r="A24" s="15"/>
      <c r="B24" s="15"/>
      <c r="C24" s="15"/>
      <c r="D24" s="16" t="s">
        <v>52</v>
      </c>
      <c r="E24" s="15">
        <v>0.1776765375854214</v>
      </c>
      <c r="F24" s="15">
        <v>0.30405405405405406</v>
      </c>
      <c r="G24" s="15">
        <v>0.19685039370078738</v>
      </c>
    </row>
    <row r="25" spans="1:7" x14ac:dyDescent="0.3">
      <c r="A25" s="15"/>
      <c r="B25" s="15"/>
      <c r="C25" s="15"/>
      <c r="D25" s="16" t="s">
        <v>53</v>
      </c>
      <c r="E25" s="15">
        <v>0.15034168564920272</v>
      </c>
      <c r="F25" s="15">
        <v>0.40540540540540537</v>
      </c>
      <c r="G25" s="15">
        <v>0.19685039370078738</v>
      </c>
    </row>
    <row r="26" spans="1:7" x14ac:dyDescent="0.3">
      <c r="A26" s="15"/>
      <c r="B26" s="15"/>
      <c r="C26" s="15"/>
      <c r="D26" s="15"/>
      <c r="E26" s="15"/>
      <c r="F26" s="15"/>
      <c r="G26" s="1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发芽率根长芽长</vt:lpstr>
      <vt:lpstr>发芽势</vt:lpstr>
      <vt:lpstr>根数量</vt:lpstr>
      <vt:lpstr>作图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zhou</dc:creator>
  <cp:lastModifiedBy>lei zhou</cp:lastModifiedBy>
  <dcterms:created xsi:type="dcterms:W3CDTF">2015-06-05T18:19:34Z</dcterms:created>
  <dcterms:modified xsi:type="dcterms:W3CDTF">2026-03-06T03:20:38Z</dcterms:modified>
</cp:coreProperties>
</file>