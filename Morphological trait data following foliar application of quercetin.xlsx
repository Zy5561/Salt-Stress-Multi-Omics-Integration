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\\10.70.159.54\JinLab\3Manuscript模板\ZhouLei\2.NP\data-final\槲皮素喷施试验-final\形态指标\"/>
    </mc:Choice>
  </mc:AlternateContent>
  <xr:revisionPtr revIDLastSave="0" documentId="13_ncr:1_{40A918A2-7356-494F-9D2B-72123FBBFDC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G006" sheetId="1" r:id="rId1"/>
    <sheet name="G065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5" i="2" l="1"/>
  <c r="K15" i="2"/>
  <c r="L15" i="2"/>
  <c r="M15" i="2"/>
  <c r="N15" i="2"/>
  <c r="J16" i="2"/>
  <c r="K16" i="2"/>
  <c r="L16" i="2"/>
  <c r="M16" i="2"/>
  <c r="N16" i="2"/>
  <c r="J17" i="2"/>
  <c r="K17" i="2"/>
  <c r="L17" i="2"/>
  <c r="M17" i="2"/>
  <c r="N17" i="2"/>
  <c r="J18" i="2"/>
  <c r="K18" i="2"/>
  <c r="L18" i="2"/>
  <c r="M18" i="2"/>
  <c r="N18" i="2"/>
  <c r="J19" i="2"/>
  <c r="K19" i="2"/>
  <c r="L19" i="2"/>
  <c r="M19" i="2"/>
  <c r="N19" i="2"/>
  <c r="J20" i="2"/>
  <c r="K20" i="2"/>
  <c r="L20" i="2"/>
  <c r="M20" i="2"/>
  <c r="N20" i="2"/>
  <c r="J21" i="2"/>
  <c r="K21" i="2"/>
  <c r="L21" i="2"/>
  <c r="M21" i="2"/>
  <c r="N21" i="2"/>
  <c r="J22" i="2"/>
  <c r="K22" i="2"/>
  <c r="L22" i="2"/>
  <c r="M22" i="2"/>
  <c r="N22" i="2"/>
  <c r="K14" i="2"/>
  <c r="L14" i="2"/>
  <c r="M14" i="2"/>
  <c r="N14" i="2"/>
  <c r="J14" i="2"/>
  <c r="C15" i="2"/>
  <c r="D15" i="2"/>
  <c r="E15" i="2"/>
  <c r="F15" i="2"/>
  <c r="G15" i="2"/>
  <c r="C16" i="2"/>
  <c r="D16" i="2"/>
  <c r="E16" i="2"/>
  <c r="F16" i="2"/>
  <c r="G16" i="2"/>
  <c r="C17" i="2"/>
  <c r="D17" i="2"/>
  <c r="E17" i="2"/>
  <c r="F17" i="2"/>
  <c r="G17" i="2"/>
  <c r="C18" i="2"/>
  <c r="D18" i="2"/>
  <c r="E18" i="2"/>
  <c r="F18" i="2"/>
  <c r="G18" i="2"/>
  <c r="C19" i="2"/>
  <c r="D19" i="2"/>
  <c r="E19" i="2"/>
  <c r="F19" i="2"/>
  <c r="G19" i="2"/>
  <c r="C20" i="2"/>
  <c r="D20" i="2"/>
  <c r="E20" i="2"/>
  <c r="F20" i="2"/>
  <c r="G20" i="2"/>
  <c r="C21" i="2"/>
  <c r="D21" i="2"/>
  <c r="E21" i="2"/>
  <c r="F21" i="2"/>
  <c r="G21" i="2"/>
  <c r="C22" i="2"/>
  <c r="D22" i="2"/>
  <c r="E22" i="2"/>
  <c r="F22" i="2"/>
  <c r="G22" i="2"/>
  <c r="D14" i="2"/>
  <c r="E14" i="2"/>
  <c r="F14" i="2"/>
  <c r="G14" i="2"/>
  <c r="C14" i="2"/>
  <c r="I17" i="2"/>
  <c r="B17" i="2"/>
  <c r="K14" i="1"/>
  <c r="L14" i="1"/>
  <c r="M14" i="1"/>
  <c r="N14" i="1"/>
  <c r="K15" i="1"/>
  <c r="L15" i="1"/>
  <c r="M15" i="1"/>
  <c r="N15" i="1"/>
  <c r="K16" i="1"/>
  <c r="L16" i="1"/>
  <c r="M16" i="1"/>
  <c r="N16" i="1"/>
  <c r="K17" i="1"/>
  <c r="L17" i="1"/>
  <c r="M17" i="1"/>
  <c r="N17" i="1"/>
  <c r="K18" i="1"/>
  <c r="L18" i="1"/>
  <c r="M18" i="1"/>
  <c r="N18" i="1"/>
  <c r="K19" i="1"/>
  <c r="L19" i="1"/>
  <c r="M19" i="1"/>
  <c r="N19" i="1"/>
  <c r="K20" i="1"/>
  <c r="L20" i="1"/>
  <c r="M20" i="1"/>
  <c r="N20" i="1"/>
  <c r="K21" i="1"/>
  <c r="L21" i="1"/>
  <c r="M21" i="1"/>
  <c r="N21" i="1"/>
  <c r="K22" i="1"/>
  <c r="L22" i="1"/>
  <c r="M22" i="1"/>
  <c r="N22" i="1"/>
  <c r="J15" i="1"/>
  <c r="J16" i="1"/>
  <c r="J17" i="1"/>
  <c r="J18" i="1"/>
  <c r="J19" i="1"/>
  <c r="J20" i="1"/>
  <c r="J21" i="1"/>
  <c r="J22" i="1"/>
  <c r="J14" i="1"/>
  <c r="I17" i="1"/>
  <c r="C15" i="1"/>
  <c r="D15" i="1"/>
  <c r="E15" i="1"/>
  <c r="F15" i="1"/>
  <c r="G15" i="1"/>
  <c r="C16" i="1"/>
  <c r="D16" i="1"/>
  <c r="E16" i="1"/>
  <c r="F16" i="1"/>
  <c r="G16" i="1"/>
  <c r="C17" i="1"/>
  <c r="D17" i="1"/>
  <c r="E17" i="1"/>
  <c r="F17" i="1"/>
  <c r="G17" i="1"/>
  <c r="C18" i="1"/>
  <c r="D18" i="1"/>
  <c r="E18" i="1"/>
  <c r="F18" i="1"/>
  <c r="G18" i="1"/>
  <c r="C19" i="1"/>
  <c r="D19" i="1"/>
  <c r="E19" i="1"/>
  <c r="F19" i="1"/>
  <c r="G19" i="1"/>
  <c r="C20" i="1"/>
  <c r="D20" i="1"/>
  <c r="E20" i="1"/>
  <c r="F20" i="1"/>
  <c r="G20" i="1"/>
  <c r="C21" i="1"/>
  <c r="D21" i="1"/>
  <c r="E21" i="1"/>
  <c r="F21" i="1"/>
  <c r="G21" i="1"/>
  <c r="C22" i="1"/>
  <c r="D22" i="1"/>
  <c r="E22" i="1"/>
  <c r="F22" i="1"/>
  <c r="G22" i="1"/>
  <c r="D14" i="1"/>
  <c r="E14" i="1"/>
  <c r="F14" i="1"/>
  <c r="G14" i="1"/>
  <c r="C14" i="1"/>
  <c r="B17" i="1"/>
</calcChain>
</file>

<file path=xl/sharedStrings.xml><?xml version="1.0" encoding="utf-8"?>
<sst xmlns="http://schemas.openxmlformats.org/spreadsheetml/2006/main" count="48" uniqueCount="8">
  <si>
    <t>CK</t>
    <phoneticPr fontId="1" type="noConversion"/>
  </si>
  <si>
    <t>T</t>
    <phoneticPr fontId="1" type="noConversion"/>
  </si>
  <si>
    <t>T+25</t>
    <phoneticPr fontId="1" type="noConversion"/>
  </si>
  <si>
    <t>T+50</t>
    <phoneticPr fontId="1" type="noConversion"/>
  </si>
  <si>
    <t>T+75</t>
  </si>
  <si>
    <t>T+100</t>
  </si>
  <si>
    <t>Shoot length(mm)</t>
    <phoneticPr fontId="1" type="noConversion"/>
  </si>
  <si>
    <t>Root length(mm)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</si>
</sst>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 count="4">
    <xf numFmtId="0" fontId="0" fillId="0" borderId="0" xfId="0"/>
    <xf numFmtId="9" fontId="0" fillId="0" borderId="0" xfId="1" applyFont="1" applyAlignment="1"/>
    <xf numFmtId="0" fontId="0" fillId="0" borderId="0" xfId="1" applyNumberFormat="1" applyFont="1" applyAlignment="1"/>
    <xf numFmtId="9" fontId="0" fillId="0" borderId="0" xfId="0" applyNumberFormat="1"/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C33" sqref="C33"/>
    </sheetView>
  </sheetViews>
  <sheetFormatPr defaultRowHeight="14" x14ac:dyDescent="0.3"/>
  <cols>
    <col min="1" max="1" width="15.9140625" bestFit="1" customWidth="1"/>
    <col min="2" max="6" width="8.9140625" customWidth="1"/>
    <col min="7" max="7" width="6.9140625" customWidth="1"/>
    <col min="8" max="13" width="8.9140625" customWidth="1"/>
  </cols>
  <sheetData>
    <row r="1" spans="1:14" x14ac:dyDescent="0.3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0</v>
      </c>
      <c r="J1" t="s">
        <v>1</v>
      </c>
      <c r="K1" t="s">
        <v>2</v>
      </c>
      <c r="L1" t="s">
        <v>3</v>
      </c>
      <c r="M1" t="s">
        <v>4</v>
      </c>
      <c r="N1" t="s">
        <v>5</v>
      </c>
    </row>
    <row r="2" spans="1:14" x14ac:dyDescent="0.3">
      <c r="B2">
        <v>51</v>
      </c>
      <c r="C2">
        <v>8</v>
      </c>
      <c r="D2">
        <v>10</v>
      </c>
      <c r="E2">
        <v>13</v>
      </c>
      <c r="F2">
        <v>12</v>
      </c>
      <c r="G2">
        <v>12</v>
      </c>
      <c r="I2">
        <v>46</v>
      </c>
      <c r="J2">
        <v>18</v>
      </c>
      <c r="K2">
        <v>24</v>
      </c>
      <c r="L2">
        <v>22</v>
      </c>
      <c r="M2">
        <v>22</v>
      </c>
      <c r="N2">
        <v>20</v>
      </c>
    </row>
    <row r="3" spans="1:14" x14ac:dyDescent="0.3">
      <c r="B3">
        <v>53</v>
      </c>
      <c r="C3">
        <v>5</v>
      </c>
      <c r="D3">
        <v>20</v>
      </c>
      <c r="E3">
        <v>15</v>
      </c>
      <c r="F3">
        <v>13</v>
      </c>
      <c r="G3">
        <v>10</v>
      </c>
      <c r="I3">
        <v>48</v>
      </c>
      <c r="J3">
        <v>24</v>
      </c>
      <c r="K3">
        <v>22</v>
      </c>
      <c r="L3">
        <v>20</v>
      </c>
      <c r="M3">
        <v>30</v>
      </c>
      <c r="N3">
        <v>20</v>
      </c>
    </row>
    <row r="4" spans="1:14" x14ac:dyDescent="0.3">
      <c r="B4">
        <v>48</v>
      </c>
      <c r="C4">
        <v>5</v>
      </c>
      <c r="D4">
        <v>23</v>
      </c>
      <c r="E4">
        <v>12</v>
      </c>
      <c r="F4">
        <v>12</v>
      </c>
      <c r="G4">
        <v>10</v>
      </c>
      <c r="I4">
        <v>56</v>
      </c>
      <c r="J4">
        <v>14</v>
      </c>
      <c r="K4">
        <v>20</v>
      </c>
      <c r="L4">
        <v>20</v>
      </c>
      <c r="M4">
        <v>27</v>
      </c>
      <c r="N4">
        <v>20</v>
      </c>
    </row>
    <row r="5" spans="1:14" x14ac:dyDescent="0.3">
      <c r="B5">
        <v>44</v>
      </c>
      <c r="C5">
        <v>10</v>
      </c>
      <c r="D5">
        <v>18</v>
      </c>
      <c r="E5">
        <v>18</v>
      </c>
      <c r="F5">
        <v>15</v>
      </c>
      <c r="G5">
        <v>15</v>
      </c>
      <c r="I5">
        <v>50</v>
      </c>
      <c r="J5">
        <v>20</v>
      </c>
      <c r="K5">
        <v>28</v>
      </c>
      <c r="L5">
        <v>23</v>
      </c>
      <c r="M5">
        <v>27</v>
      </c>
      <c r="N5">
        <v>20</v>
      </c>
    </row>
    <row r="6" spans="1:14" x14ac:dyDescent="0.3">
      <c r="B6">
        <v>43</v>
      </c>
      <c r="C6">
        <v>10</v>
      </c>
      <c r="D6">
        <v>16</v>
      </c>
      <c r="E6">
        <v>16</v>
      </c>
      <c r="F6">
        <v>15</v>
      </c>
      <c r="G6">
        <v>14</v>
      </c>
      <c r="I6">
        <v>56</v>
      </c>
      <c r="J6">
        <v>18</v>
      </c>
      <c r="K6">
        <v>25</v>
      </c>
      <c r="L6">
        <v>25</v>
      </c>
      <c r="M6">
        <v>25</v>
      </c>
      <c r="N6">
        <v>22</v>
      </c>
    </row>
    <row r="7" spans="1:14" x14ac:dyDescent="0.3">
      <c r="B7">
        <v>43</v>
      </c>
      <c r="C7">
        <v>8</v>
      </c>
      <c r="D7">
        <v>14</v>
      </c>
      <c r="E7">
        <v>17</v>
      </c>
      <c r="F7">
        <v>12</v>
      </c>
      <c r="G7">
        <v>15</v>
      </c>
      <c r="I7">
        <v>46</v>
      </c>
      <c r="J7">
        <v>20</v>
      </c>
      <c r="K7">
        <v>24</v>
      </c>
      <c r="L7">
        <v>24</v>
      </c>
      <c r="M7">
        <v>20</v>
      </c>
      <c r="N7">
        <v>20</v>
      </c>
    </row>
    <row r="8" spans="1:14" x14ac:dyDescent="0.3">
      <c r="B8">
        <v>45</v>
      </c>
      <c r="C8">
        <v>10</v>
      </c>
      <c r="D8">
        <v>13</v>
      </c>
      <c r="E8">
        <v>18</v>
      </c>
      <c r="F8">
        <v>15</v>
      </c>
      <c r="G8">
        <v>15</v>
      </c>
      <c r="I8">
        <v>56</v>
      </c>
      <c r="J8">
        <v>20</v>
      </c>
      <c r="K8">
        <v>20</v>
      </c>
      <c r="L8">
        <v>23</v>
      </c>
      <c r="M8">
        <v>20</v>
      </c>
      <c r="N8">
        <v>23</v>
      </c>
    </row>
    <row r="9" spans="1:14" x14ac:dyDescent="0.3">
      <c r="B9">
        <v>47</v>
      </c>
      <c r="C9">
        <v>5</v>
      </c>
      <c r="D9">
        <v>12</v>
      </c>
      <c r="E9">
        <v>18</v>
      </c>
      <c r="F9">
        <v>15</v>
      </c>
      <c r="G9">
        <v>15</v>
      </c>
      <c r="I9">
        <v>50</v>
      </c>
      <c r="J9">
        <v>14</v>
      </c>
      <c r="K9">
        <v>24</v>
      </c>
      <c r="L9">
        <v>25</v>
      </c>
      <c r="M9">
        <v>22</v>
      </c>
      <c r="N9">
        <v>20</v>
      </c>
    </row>
    <row r="10" spans="1:14" x14ac:dyDescent="0.3">
      <c r="B10">
        <v>43</v>
      </c>
      <c r="C10">
        <v>5</v>
      </c>
      <c r="D10">
        <v>14</v>
      </c>
      <c r="E10">
        <v>13</v>
      </c>
      <c r="F10">
        <v>18</v>
      </c>
      <c r="G10">
        <v>14</v>
      </c>
      <c r="I10">
        <v>56</v>
      </c>
      <c r="J10">
        <v>13</v>
      </c>
      <c r="K10">
        <v>17</v>
      </c>
      <c r="L10">
        <v>24</v>
      </c>
      <c r="M10">
        <v>20</v>
      </c>
      <c r="N10">
        <v>20</v>
      </c>
    </row>
    <row r="13" spans="1:14" x14ac:dyDescent="0.3">
      <c r="C13" t="s">
        <v>1</v>
      </c>
      <c r="D13" t="s">
        <v>2</v>
      </c>
      <c r="E13" t="s">
        <v>3</v>
      </c>
      <c r="F13" t="s">
        <v>4</v>
      </c>
      <c r="G13" t="s">
        <v>5</v>
      </c>
      <c r="J13" t="s">
        <v>1</v>
      </c>
      <c r="K13" t="s">
        <v>2</v>
      </c>
      <c r="L13" t="s">
        <v>3</v>
      </c>
      <c r="M13" t="s">
        <v>4</v>
      </c>
      <c r="N13" t="s">
        <v>5</v>
      </c>
    </row>
    <row r="14" spans="1:14" x14ac:dyDescent="0.3">
      <c r="C14" s="1">
        <f>C2/46.33</f>
        <v>0.17267429311461258</v>
      </c>
      <c r="D14" s="1">
        <f t="shared" ref="D14:G14" si="0">D2/46.33</f>
        <v>0.21584286639326572</v>
      </c>
      <c r="E14" s="1">
        <f t="shared" si="0"/>
        <v>0.28059572631124541</v>
      </c>
      <c r="F14" s="1">
        <f t="shared" si="0"/>
        <v>0.25901143967191886</v>
      </c>
      <c r="G14" s="1">
        <f t="shared" si="0"/>
        <v>0.25901143967191886</v>
      </c>
      <c r="J14" s="1">
        <f>J2/51.556</f>
        <v>0.34913492125067891</v>
      </c>
      <c r="K14" s="1">
        <f t="shared" ref="K14:N14" si="1">K2/51.556</f>
        <v>0.46551322833423853</v>
      </c>
      <c r="L14" s="1">
        <f t="shared" si="1"/>
        <v>0.4267204593063853</v>
      </c>
      <c r="M14" s="1">
        <f t="shared" si="1"/>
        <v>0.4267204593063853</v>
      </c>
      <c r="N14" s="1">
        <f t="shared" si="1"/>
        <v>0.38792769027853208</v>
      </c>
    </row>
    <row r="15" spans="1:14" x14ac:dyDescent="0.3">
      <c r="C15" s="1">
        <f t="shared" ref="C15:G15" si="2">C3/46.33</f>
        <v>0.10792143319663286</v>
      </c>
      <c r="D15" s="1">
        <f t="shared" si="2"/>
        <v>0.43168573278653144</v>
      </c>
      <c r="E15" s="1">
        <f t="shared" si="2"/>
        <v>0.32376429958989855</v>
      </c>
      <c r="F15" s="1">
        <f t="shared" si="2"/>
        <v>0.28059572631124541</v>
      </c>
      <c r="G15" s="1">
        <f t="shared" si="2"/>
        <v>0.21584286639326572</v>
      </c>
      <c r="J15" s="1">
        <f t="shared" ref="J15:N22" si="3">J3/51.556</f>
        <v>0.46551322833423853</v>
      </c>
      <c r="K15" s="1">
        <f t="shared" si="3"/>
        <v>0.4267204593063853</v>
      </c>
      <c r="L15" s="1">
        <f t="shared" si="3"/>
        <v>0.38792769027853208</v>
      </c>
      <c r="M15" s="1">
        <f t="shared" si="3"/>
        <v>0.58189153541779814</v>
      </c>
      <c r="N15" s="1">
        <f t="shared" si="3"/>
        <v>0.38792769027853208</v>
      </c>
    </row>
    <row r="16" spans="1:14" x14ac:dyDescent="0.3">
      <c r="C16" s="1">
        <f t="shared" ref="C16:G16" si="4">C4/46.33</f>
        <v>0.10792143319663286</v>
      </c>
      <c r="D16" s="1">
        <f t="shared" si="4"/>
        <v>0.49643859270451113</v>
      </c>
      <c r="E16" s="1">
        <f t="shared" si="4"/>
        <v>0.25901143967191886</v>
      </c>
      <c r="F16" s="1">
        <f t="shared" si="4"/>
        <v>0.25901143967191886</v>
      </c>
      <c r="G16" s="1">
        <f t="shared" si="4"/>
        <v>0.21584286639326572</v>
      </c>
      <c r="J16" s="1">
        <f t="shared" si="3"/>
        <v>0.27154938319497246</v>
      </c>
      <c r="K16" s="1">
        <f t="shared" si="3"/>
        <v>0.38792769027853208</v>
      </c>
      <c r="L16" s="1">
        <f t="shared" si="3"/>
        <v>0.38792769027853208</v>
      </c>
      <c r="M16" s="1">
        <f t="shared" si="3"/>
        <v>0.52370238187601836</v>
      </c>
      <c r="N16" s="1">
        <f t="shared" si="3"/>
        <v>0.38792769027853208</v>
      </c>
    </row>
    <row r="17" spans="2:14" x14ac:dyDescent="0.3">
      <c r="B17">
        <f>AVERAGE(B2:B10)</f>
        <v>46.333333333333336</v>
      </c>
      <c r="C17" s="1">
        <f t="shared" ref="C17:G17" si="5">C5/46.33</f>
        <v>0.21584286639326572</v>
      </c>
      <c r="D17" s="1">
        <f t="shared" si="5"/>
        <v>0.3885171595078783</v>
      </c>
      <c r="E17" s="1">
        <f t="shared" si="5"/>
        <v>0.3885171595078783</v>
      </c>
      <c r="F17" s="1">
        <f t="shared" si="5"/>
        <v>0.32376429958989855</v>
      </c>
      <c r="G17" s="1">
        <f t="shared" si="5"/>
        <v>0.32376429958989855</v>
      </c>
      <c r="I17" s="2">
        <f>AVERAGE(I2:I10)</f>
        <v>51.555555555555557</v>
      </c>
      <c r="J17" s="1">
        <f t="shared" si="3"/>
        <v>0.38792769027853208</v>
      </c>
      <c r="K17" s="1">
        <f t="shared" si="3"/>
        <v>0.54309876638994492</v>
      </c>
      <c r="L17" s="1">
        <f t="shared" si="3"/>
        <v>0.44611684382031191</v>
      </c>
      <c r="M17" s="1">
        <f t="shared" si="3"/>
        <v>0.52370238187601836</v>
      </c>
      <c r="N17" s="1">
        <f t="shared" si="3"/>
        <v>0.38792769027853208</v>
      </c>
    </row>
    <row r="18" spans="2:14" x14ac:dyDescent="0.3">
      <c r="C18" s="1">
        <f t="shared" ref="C18:G18" si="6">C6/46.33</f>
        <v>0.21584286639326572</v>
      </c>
      <c r="D18" s="1">
        <f t="shared" si="6"/>
        <v>0.34534858622922515</v>
      </c>
      <c r="E18" s="1">
        <f t="shared" si="6"/>
        <v>0.34534858622922515</v>
      </c>
      <c r="F18" s="1">
        <f t="shared" si="6"/>
        <v>0.32376429958989855</v>
      </c>
      <c r="G18" s="1">
        <f t="shared" si="6"/>
        <v>0.30218001295057201</v>
      </c>
      <c r="J18" s="1">
        <f t="shared" si="3"/>
        <v>0.34913492125067891</v>
      </c>
      <c r="K18" s="1">
        <f t="shared" si="3"/>
        <v>0.48490961284816514</v>
      </c>
      <c r="L18" s="1">
        <f t="shared" si="3"/>
        <v>0.48490961284816514</v>
      </c>
      <c r="M18" s="1">
        <f t="shared" si="3"/>
        <v>0.48490961284816514</v>
      </c>
      <c r="N18" s="1">
        <f t="shared" si="3"/>
        <v>0.4267204593063853</v>
      </c>
    </row>
    <row r="19" spans="2:14" x14ac:dyDescent="0.3">
      <c r="C19" s="1">
        <f t="shared" ref="C19:G19" si="7">C7/46.33</f>
        <v>0.17267429311461258</v>
      </c>
      <c r="D19" s="1">
        <f t="shared" si="7"/>
        <v>0.30218001295057201</v>
      </c>
      <c r="E19" s="1">
        <f t="shared" si="7"/>
        <v>0.3669328728685517</v>
      </c>
      <c r="F19" s="1">
        <f t="shared" si="7"/>
        <v>0.25901143967191886</v>
      </c>
      <c r="G19" s="1">
        <f t="shared" si="7"/>
        <v>0.32376429958989855</v>
      </c>
      <c r="J19" s="1">
        <f t="shared" si="3"/>
        <v>0.38792769027853208</v>
      </c>
      <c r="K19" s="1">
        <f t="shared" si="3"/>
        <v>0.46551322833423853</v>
      </c>
      <c r="L19" s="1">
        <f t="shared" si="3"/>
        <v>0.46551322833423853</v>
      </c>
      <c r="M19" s="1">
        <f t="shared" si="3"/>
        <v>0.38792769027853208</v>
      </c>
      <c r="N19" s="1">
        <f t="shared" si="3"/>
        <v>0.38792769027853208</v>
      </c>
    </row>
    <row r="20" spans="2:14" x14ac:dyDescent="0.3">
      <c r="C20" s="1">
        <f t="shared" ref="C20:G20" si="8">C8/46.33</f>
        <v>0.21584286639326572</v>
      </c>
      <c r="D20" s="1">
        <f t="shared" si="8"/>
        <v>0.28059572631124541</v>
      </c>
      <c r="E20" s="1">
        <f t="shared" si="8"/>
        <v>0.3885171595078783</v>
      </c>
      <c r="F20" s="1">
        <f t="shared" si="8"/>
        <v>0.32376429958989855</v>
      </c>
      <c r="G20" s="1">
        <f t="shared" si="8"/>
        <v>0.32376429958989855</v>
      </c>
      <c r="J20" s="1">
        <f t="shared" si="3"/>
        <v>0.38792769027853208</v>
      </c>
      <c r="K20" s="1">
        <f t="shared" si="3"/>
        <v>0.38792769027853208</v>
      </c>
      <c r="L20" s="1">
        <f t="shared" si="3"/>
        <v>0.44611684382031191</v>
      </c>
      <c r="M20" s="1">
        <f t="shared" si="3"/>
        <v>0.38792769027853208</v>
      </c>
      <c r="N20" s="1">
        <f t="shared" si="3"/>
        <v>0.44611684382031191</v>
      </c>
    </row>
    <row r="21" spans="2:14" x14ac:dyDescent="0.3">
      <c r="C21" s="1">
        <f t="shared" ref="C21:G21" si="9">C9/46.33</f>
        <v>0.10792143319663286</v>
      </c>
      <c r="D21" s="1">
        <f t="shared" si="9"/>
        <v>0.25901143967191886</v>
      </c>
      <c r="E21" s="1">
        <f t="shared" si="9"/>
        <v>0.3885171595078783</v>
      </c>
      <c r="F21" s="1">
        <f t="shared" si="9"/>
        <v>0.32376429958989855</v>
      </c>
      <c r="G21" s="1">
        <f t="shared" si="9"/>
        <v>0.32376429958989855</v>
      </c>
      <c r="J21" s="1">
        <f t="shared" si="3"/>
        <v>0.27154938319497246</v>
      </c>
      <c r="K21" s="1">
        <f t="shared" si="3"/>
        <v>0.46551322833423853</v>
      </c>
      <c r="L21" s="1">
        <f t="shared" si="3"/>
        <v>0.48490961284816514</v>
      </c>
      <c r="M21" s="1">
        <f t="shared" si="3"/>
        <v>0.4267204593063853</v>
      </c>
      <c r="N21" s="1">
        <f t="shared" si="3"/>
        <v>0.38792769027853208</v>
      </c>
    </row>
    <row r="22" spans="2:14" x14ac:dyDescent="0.3">
      <c r="C22" s="1">
        <f t="shared" ref="C22:G22" si="10">C10/46.33</f>
        <v>0.10792143319663286</v>
      </c>
      <c r="D22" s="1">
        <f t="shared" si="10"/>
        <v>0.30218001295057201</v>
      </c>
      <c r="E22" s="1">
        <f t="shared" si="10"/>
        <v>0.28059572631124541</v>
      </c>
      <c r="F22" s="1">
        <f t="shared" si="10"/>
        <v>0.3885171595078783</v>
      </c>
      <c r="G22" s="1">
        <f t="shared" si="10"/>
        <v>0.30218001295057201</v>
      </c>
      <c r="J22" s="1">
        <f t="shared" si="3"/>
        <v>0.25215299868104585</v>
      </c>
      <c r="K22" s="1">
        <f t="shared" si="3"/>
        <v>0.3297385367367523</v>
      </c>
      <c r="L22" s="1">
        <f t="shared" si="3"/>
        <v>0.46551322833423853</v>
      </c>
      <c r="M22" s="1">
        <f t="shared" si="3"/>
        <v>0.38792769027853208</v>
      </c>
      <c r="N22" s="1">
        <f t="shared" si="3"/>
        <v>0.38792769027853208</v>
      </c>
    </row>
    <row r="24" spans="2:14" x14ac:dyDescent="0.3">
      <c r="C24" s="1"/>
    </row>
    <row r="25" spans="2:14" x14ac:dyDescent="0.3"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5944B-6117-492B-9FB9-4DEA757B6892}">
  <dimension ref="A1:N26"/>
  <sheetViews>
    <sheetView workbookViewId="0">
      <selection activeCell="B33" sqref="B33"/>
    </sheetView>
  </sheetViews>
  <sheetFormatPr defaultRowHeight="14" x14ac:dyDescent="0.3"/>
  <cols>
    <col min="1" max="1" width="15.9140625" bestFit="1" customWidth="1"/>
    <col min="3" max="7" width="8.9140625" customWidth="1"/>
    <col min="8" max="8" width="15.33203125" bestFit="1" customWidth="1"/>
    <col min="9" max="13" width="8.9140625" customWidth="1"/>
  </cols>
  <sheetData>
    <row r="1" spans="1:14" x14ac:dyDescent="0.3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0</v>
      </c>
      <c r="J1" t="s">
        <v>1</v>
      </c>
      <c r="K1" t="s">
        <v>2</v>
      </c>
      <c r="L1" t="s">
        <v>3</v>
      </c>
      <c r="M1" t="s">
        <v>4</v>
      </c>
      <c r="N1" t="s">
        <v>5</v>
      </c>
    </row>
    <row r="2" spans="1:14" x14ac:dyDescent="0.3">
      <c r="B2">
        <v>90</v>
      </c>
      <c r="C2">
        <v>30</v>
      </c>
      <c r="D2">
        <v>40</v>
      </c>
      <c r="E2">
        <v>27</v>
      </c>
      <c r="F2">
        <v>26</v>
      </c>
      <c r="G2">
        <v>27</v>
      </c>
      <c r="I2">
        <v>66</v>
      </c>
      <c r="J2">
        <v>40</v>
      </c>
      <c r="K2">
        <v>40</v>
      </c>
      <c r="L2">
        <v>52</v>
      </c>
      <c r="M2">
        <v>40</v>
      </c>
      <c r="N2">
        <v>30</v>
      </c>
    </row>
    <row r="3" spans="1:14" x14ac:dyDescent="0.3">
      <c r="B3">
        <v>54</v>
      </c>
      <c r="C3">
        <v>20</v>
      </c>
      <c r="D3">
        <v>31</v>
      </c>
      <c r="E3">
        <v>37</v>
      </c>
      <c r="F3">
        <v>25</v>
      </c>
      <c r="G3">
        <v>20</v>
      </c>
      <c r="I3">
        <v>66</v>
      </c>
      <c r="J3">
        <v>40</v>
      </c>
      <c r="K3">
        <v>40</v>
      </c>
      <c r="L3">
        <v>52</v>
      </c>
      <c r="M3">
        <v>40</v>
      </c>
      <c r="N3">
        <v>36</v>
      </c>
    </row>
    <row r="4" spans="1:14" x14ac:dyDescent="0.3">
      <c r="B4">
        <v>80</v>
      </c>
      <c r="C4">
        <v>20</v>
      </c>
      <c r="D4">
        <v>42</v>
      </c>
      <c r="E4">
        <v>37</v>
      </c>
      <c r="F4">
        <v>28</v>
      </c>
      <c r="G4">
        <v>20</v>
      </c>
      <c r="I4">
        <v>60</v>
      </c>
      <c r="J4">
        <v>40</v>
      </c>
      <c r="K4">
        <v>43</v>
      </c>
      <c r="L4">
        <v>50</v>
      </c>
      <c r="M4">
        <v>40</v>
      </c>
      <c r="N4">
        <v>37</v>
      </c>
    </row>
    <row r="5" spans="1:14" x14ac:dyDescent="0.3">
      <c r="B5">
        <v>60</v>
      </c>
      <c r="C5">
        <v>30</v>
      </c>
      <c r="D5">
        <v>24</v>
      </c>
      <c r="E5">
        <v>35</v>
      </c>
      <c r="F5">
        <v>26</v>
      </c>
      <c r="G5">
        <v>15</v>
      </c>
      <c r="I5">
        <v>45</v>
      </c>
      <c r="J5">
        <v>45</v>
      </c>
      <c r="K5">
        <v>40</v>
      </c>
      <c r="L5">
        <v>58</v>
      </c>
      <c r="M5">
        <v>38</v>
      </c>
      <c r="N5">
        <v>35</v>
      </c>
    </row>
    <row r="6" spans="1:14" x14ac:dyDescent="0.3">
      <c r="B6">
        <v>70</v>
      </c>
      <c r="C6">
        <v>20</v>
      </c>
      <c r="D6">
        <v>20</v>
      </c>
      <c r="E6">
        <v>35</v>
      </c>
      <c r="F6">
        <v>25</v>
      </c>
      <c r="G6">
        <v>20</v>
      </c>
      <c r="I6">
        <v>52</v>
      </c>
      <c r="J6">
        <v>40</v>
      </c>
      <c r="K6">
        <v>40</v>
      </c>
      <c r="L6">
        <v>50</v>
      </c>
      <c r="M6">
        <v>38</v>
      </c>
      <c r="N6">
        <v>32</v>
      </c>
    </row>
    <row r="7" spans="1:14" x14ac:dyDescent="0.3">
      <c r="B7">
        <v>58</v>
      </c>
      <c r="C7">
        <v>32</v>
      </c>
      <c r="D7">
        <v>30</v>
      </c>
      <c r="E7">
        <v>36</v>
      </c>
      <c r="F7">
        <v>22</v>
      </c>
      <c r="G7">
        <v>25</v>
      </c>
      <c r="I7">
        <v>65</v>
      </c>
      <c r="J7">
        <v>48</v>
      </c>
      <c r="K7">
        <v>48</v>
      </c>
      <c r="L7">
        <v>52</v>
      </c>
      <c r="M7">
        <v>37</v>
      </c>
      <c r="N7">
        <v>34</v>
      </c>
    </row>
    <row r="8" spans="1:14" x14ac:dyDescent="0.3">
      <c r="B8">
        <v>90</v>
      </c>
      <c r="C8">
        <v>35</v>
      </c>
      <c r="D8">
        <v>52</v>
      </c>
      <c r="E8">
        <v>28</v>
      </c>
      <c r="F8">
        <v>22</v>
      </c>
      <c r="G8">
        <v>22</v>
      </c>
      <c r="I8">
        <v>70</v>
      </c>
      <c r="J8">
        <v>42</v>
      </c>
      <c r="K8">
        <v>50</v>
      </c>
      <c r="L8">
        <v>47</v>
      </c>
      <c r="M8">
        <v>35</v>
      </c>
      <c r="N8">
        <v>28</v>
      </c>
    </row>
    <row r="9" spans="1:14" x14ac:dyDescent="0.3">
      <c r="B9">
        <v>64</v>
      </c>
      <c r="C9">
        <v>20</v>
      </c>
      <c r="D9">
        <v>38</v>
      </c>
      <c r="E9">
        <v>28</v>
      </c>
      <c r="F9">
        <v>22</v>
      </c>
      <c r="G9">
        <v>18</v>
      </c>
      <c r="I9">
        <v>60</v>
      </c>
      <c r="J9">
        <v>38</v>
      </c>
      <c r="K9">
        <v>54</v>
      </c>
      <c r="L9">
        <v>52</v>
      </c>
      <c r="M9">
        <v>38</v>
      </c>
      <c r="N9">
        <v>27</v>
      </c>
    </row>
    <row r="10" spans="1:14" x14ac:dyDescent="0.3">
      <c r="B10">
        <v>65</v>
      </c>
      <c r="C10">
        <v>23</v>
      </c>
      <c r="D10">
        <v>32</v>
      </c>
      <c r="E10">
        <v>25</v>
      </c>
      <c r="F10">
        <v>27</v>
      </c>
      <c r="G10">
        <v>18</v>
      </c>
      <c r="I10">
        <v>70</v>
      </c>
      <c r="J10">
        <v>46</v>
      </c>
      <c r="K10">
        <v>47</v>
      </c>
      <c r="L10">
        <v>47</v>
      </c>
      <c r="M10">
        <v>41</v>
      </c>
      <c r="N10">
        <v>30</v>
      </c>
    </row>
    <row r="13" spans="1:14" x14ac:dyDescent="0.3">
      <c r="C13" t="s">
        <v>1</v>
      </c>
      <c r="D13" t="s">
        <v>2</v>
      </c>
      <c r="E13" t="s">
        <v>3</v>
      </c>
      <c r="F13" t="s">
        <v>4</v>
      </c>
      <c r="G13" t="s">
        <v>5</v>
      </c>
      <c r="J13" t="s">
        <v>1</v>
      </c>
      <c r="K13" t="s">
        <v>2</v>
      </c>
      <c r="L13" t="s">
        <v>3</v>
      </c>
      <c r="M13" t="s">
        <v>4</v>
      </c>
      <c r="N13" t="s">
        <v>5</v>
      </c>
    </row>
    <row r="14" spans="1:14" x14ac:dyDescent="0.3">
      <c r="C14" s="1">
        <f>C2/70.11</f>
        <v>0.42789901583226359</v>
      </c>
      <c r="D14" s="1">
        <f t="shared" ref="D14:G14" si="0">D2/70.11</f>
        <v>0.57053202110968482</v>
      </c>
      <c r="E14" s="1">
        <f t="shared" si="0"/>
        <v>0.38510911424903721</v>
      </c>
      <c r="F14" s="1">
        <f t="shared" si="0"/>
        <v>0.3708458137212951</v>
      </c>
      <c r="G14" s="1">
        <f t="shared" si="0"/>
        <v>0.38510911424903721</v>
      </c>
      <c r="J14" s="1">
        <f>J2/61.556</f>
        <v>0.6498148027812074</v>
      </c>
      <c r="K14" s="1">
        <f t="shared" ref="K14:N14" si="1">K2/61.556</f>
        <v>0.6498148027812074</v>
      </c>
      <c r="L14" s="1">
        <f t="shared" si="1"/>
        <v>0.84475924361556964</v>
      </c>
      <c r="M14" s="1">
        <f t="shared" si="1"/>
        <v>0.6498148027812074</v>
      </c>
      <c r="N14" s="1">
        <f t="shared" si="1"/>
        <v>0.48736110208590555</v>
      </c>
    </row>
    <row r="15" spans="1:14" x14ac:dyDescent="0.3">
      <c r="C15" s="1">
        <f t="shared" ref="C15:G15" si="2">C3/70.11</f>
        <v>0.28526601055484241</v>
      </c>
      <c r="D15" s="1">
        <f t="shared" si="2"/>
        <v>0.44216231636000569</v>
      </c>
      <c r="E15" s="1">
        <f t="shared" si="2"/>
        <v>0.52774211952645844</v>
      </c>
      <c r="F15" s="1">
        <f t="shared" si="2"/>
        <v>0.356582513193553</v>
      </c>
      <c r="G15" s="1">
        <f t="shared" si="2"/>
        <v>0.28526601055484241</v>
      </c>
      <c r="J15" s="1">
        <f t="shared" ref="J15:N15" si="3">J3/61.556</f>
        <v>0.6498148027812074</v>
      </c>
      <c r="K15" s="1">
        <f t="shared" si="3"/>
        <v>0.6498148027812074</v>
      </c>
      <c r="L15" s="1">
        <f t="shared" si="3"/>
        <v>0.84475924361556964</v>
      </c>
      <c r="M15" s="1">
        <f t="shared" si="3"/>
        <v>0.6498148027812074</v>
      </c>
      <c r="N15" s="1">
        <f t="shared" si="3"/>
        <v>0.58483332250308662</v>
      </c>
    </row>
    <row r="16" spans="1:14" x14ac:dyDescent="0.3">
      <c r="C16" s="1">
        <f t="shared" ref="C16:G16" si="4">C4/70.11</f>
        <v>0.28526601055484241</v>
      </c>
      <c r="D16" s="1">
        <f t="shared" si="4"/>
        <v>0.59905862216516903</v>
      </c>
      <c r="E16" s="1">
        <f t="shared" si="4"/>
        <v>0.52774211952645844</v>
      </c>
      <c r="F16" s="1">
        <f t="shared" si="4"/>
        <v>0.39937241477677937</v>
      </c>
      <c r="G16" s="1">
        <f t="shared" si="4"/>
        <v>0.28526601055484241</v>
      </c>
      <c r="J16" s="1">
        <f t="shared" ref="J16:N16" si="5">J4/61.556</f>
        <v>0.6498148027812074</v>
      </c>
      <c r="K16" s="1">
        <f t="shared" si="5"/>
        <v>0.69855091298979799</v>
      </c>
      <c r="L16" s="1">
        <f t="shared" si="5"/>
        <v>0.81226850347650925</v>
      </c>
      <c r="M16" s="1">
        <f t="shared" si="5"/>
        <v>0.6498148027812074</v>
      </c>
      <c r="N16" s="1">
        <f t="shared" si="5"/>
        <v>0.60107869257261681</v>
      </c>
    </row>
    <row r="17" spans="2:14" x14ac:dyDescent="0.3">
      <c r="B17">
        <f>AVERAGE(B2:B10)</f>
        <v>70.111111111111114</v>
      </c>
      <c r="C17" s="1">
        <f t="shared" ref="C17:G17" si="6">C5/70.11</f>
        <v>0.42789901583226359</v>
      </c>
      <c r="D17" s="1">
        <f t="shared" si="6"/>
        <v>0.34231921266581089</v>
      </c>
      <c r="E17" s="1">
        <f t="shared" si="6"/>
        <v>0.49921551847097417</v>
      </c>
      <c r="F17" s="1">
        <f t="shared" si="6"/>
        <v>0.3708458137212951</v>
      </c>
      <c r="G17" s="1">
        <f t="shared" si="6"/>
        <v>0.21394950791613179</v>
      </c>
      <c r="I17">
        <f>AVERAGE(I2:I10)</f>
        <v>61.555555555555557</v>
      </c>
      <c r="J17" s="1">
        <f t="shared" ref="J17:N17" si="7">J5/61.556</f>
        <v>0.73104165312885827</v>
      </c>
      <c r="K17" s="1">
        <f t="shared" si="7"/>
        <v>0.6498148027812074</v>
      </c>
      <c r="L17" s="1">
        <f t="shared" si="7"/>
        <v>0.94223146403275071</v>
      </c>
      <c r="M17" s="1">
        <f t="shared" si="7"/>
        <v>0.61732406264214701</v>
      </c>
      <c r="N17" s="1">
        <f t="shared" si="7"/>
        <v>0.56858795243355642</v>
      </c>
    </row>
    <row r="18" spans="2:14" x14ac:dyDescent="0.3">
      <c r="C18" s="1">
        <f t="shared" ref="C18:G18" si="8">C6/70.11</f>
        <v>0.28526601055484241</v>
      </c>
      <c r="D18" s="1">
        <f t="shared" si="8"/>
        <v>0.28526601055484241</v>
      </c>
      <c r="E18" s="1">
        <f t="shared" si="8"/>
        <v>0.49921551847097417</v>
      </c>
      <c r="F18" s="1">
        <f t="shared" si="8"/>
        <v>0.356582513193553</v>
      </c>
      <c r="G18" s="1">
        <f t="shared" si="8"/>
        <v>0.28526601055484241</v>
      </c>
      <c r="J18" s="1">
        <f t="shared" ref="J18:N18" si="9">J6/61.556</f>
        <v>0.6498148027812074</v>
      </c>
      <c r="K18" s="1">
        <f t="shared" si="9"/>
        <v>0.6498148027812074</v>
      </c>
      <c r="L18" s="1">
        <f t="shared" si="9"/>
        <v>0.81226850347650925</v>
      </c>
      <c r="M18" s="1">
        <f t="shared" si="9"/>
        <v>0.61732406264214701</v>
      </c>
      <c r="N18" s="1">
        <f t="shared" si="9"/>
        <v>0.51985184222496594</v>
      </c>
    </row>
    <row r="19" spans="2:14" x14ac:dyDescent="0.3">
      <c r="C19" s="1">
        <f t="shared" ref="C19:G19" si="10">C7/70.11</f>
        <v>0.45642561688774785</v>
      </c>
      <c r="D19" s="1">
        <f t="shared" si="10"/>
        <v>0.42789901583226359</v>
      </c>
      <c r="E19" s="1">
        <f t="shared" si="10"/>
        <v>0.51347881899871628</v>
      </c>
      <c r="F19" s="1">
        <f t="shared" si="10"/>
        <v>0.31379261161032662</v>
      </c>
      <c r="G19" s="1">
        <f t="shared" si="10"/>
        <v>0.356582513193553</v>
      </c>
      <c r="J19" s="1">
        <f t="shared" ref="J19:N19" si="11">J7/61.556</f>
        <v>0.77977776333744886</v>
      </c>
      <c r="K19" s="1">
        <f t="shared" si="11"/>
        <v>0.77977776333744886</v>
      </c>
      <c r="L19" s="1">
        <f t="shared" si="11"/>
        <v>0.84475924361556964</v>
      </c>
      <c r="M19" s="1">
        <f t="shared" si="11"/>
        <v>0.60107869257261681</v>
      </c>
      <c r="N19" s="1">
        <f t="shared" si="11"/>
        <v>0.55234258236402622</v>
      </c>
    </row>
    <row r="20" spans="2:14" x14ac:dyDescent="0.3">
      <c r="C20" s="1">
        <f t="shared" ref="C20:G20" si="12">C8/70.11</f>
        <v>0.49921551847097417</v>
      </c>
      <c r="D20" s="1">
        <f t="shared" si="12"/>
        <v>0.74169162744259021</v>
      </c>
      <c r="E20" s="1">
        <f t="shared" si="12"/>
        <v>0.39937241477677937</v>
      </c>
      <c r="F20" s="1">
        <f t="shared" si="12"/>
        <v>0.31379261161032662</v>
      </c>
      <c r="G20" s="1">
        <f t="shared" si="12"/>
        <v>0.31379261161032662</v>
      </c>
      <c r="J20" s="1">
        <f t="shared" ref="J20:N20" si="13">J8/61.556</f>
        <v>0.68230554292026779</v>
      </c>
      <c r="K20" s="1">
        <f t="shared" si="13"/>
        <v>0.81226850347650925</v>
      </c>
      <c r="L20" s="1">
        <f t="shared" si="13"/>
        <v>0.76353239326791866</v>
      </c>
      <c r="M20" s="1">
        <f t="shared" si="13"/>
        <v>0.56858795243355642</v>
      </c>
      <c r="N20" s="1">
        <f t="shared" si="13"/>
        <v>0.45487036194684516</v>
      </c>
    </row>
    <row r="21" spans="2:14" x14ac:dyDescent="0.3">
      <c r="C21" s="1">
        <f t="shared" ref="C21:G21" si="14">C9/70.11</f>
        <v>0.28526601055484241</v>
      </c>
      <c r="D21" s="1">
        <f t="shared" si="14"/>
        <v>0.54200542005420049</v>
      </c>
      <c r="E21" s="1">
        <f t="shared" si="14"/>
        <v>0.39937241477677937</v>
      </c>
      <c r="F21" s="1">
        <f t="shared" si="14"/>
        <v>0.31379261161032662</v>
      </c>
      <c r="G21" s="1">
        <f t="shared" si="14"/>
        <v>0.25673940949935814</v>
      </c>
      <c r="J21" s="1">
        <f t="shared" ref="J21:N21" si="15">J9/61.556</f>
        <v>0.61732406264214701</v>
      </c>
      <c r="K21" s="1">
        <f t="shared" si="15"/>
        <v>0.87724998375462993</v>
      </c>
      <c r="L21" s="1">
        <f t="shared" si="15"/>
        <v>0.84475924361556964</v>
      </c>
      <c r="M21" s="1">
        <f t="shared" si="15"/>
        <v>0.61732406264214701</v>
      </c>
      <c r="N21" s="1">
        <f t="shared" si="15"/>
        <v>0.43862499187731496</v>
      </c>
    </row>
    <row r="22" spans="2:14" x14ac:dyDescent="0.3">
      <c r="C22" s="1">
        <f t="shared" ref="C22:G22" si="16">C10/70.11</f>
        <v>0.32805591213806873</v>
      </c>
      <c r="D22" s="1">
        <f t="shared" si="16"/>
        <v>0.45642561688774785</v>
      </c>
      <c r="E22" s="1">
        <f t="shared" si="16"/>
        <v>0.356582513193553</v>
      </c>
      <c r="F22" s="1">
        <f t="shared" si="16"/>
        <v>0.38510911424903721</v>
      </c>
      <c r="G22" s="1">
        <f t="shared" si="16"/>
        <v>0.25673940949935814</v>
      </c>
      <c r="J22" s="1">
        <f t="shared" ref="J22:N22" si="17">J10/61.556</f>
        <v>0.74728702319838847</v>
      </c>
      <c r="K22" s="1">
        <f t="shared" si="17"/>
        <v>0.76353239326791866</v>
      </c>
      <c r="L22" s="1">
        <f t="shared" si="17"/>
        <v>0.76353239326791866</v>
      </c>
      <c r="M22" s="1">
        <f t="shared" si="17"/>
        <v>0.6660601728507376</v>
      </c>
      <c r="N22" s="1">
        <f t="shared" si="17"/>
        <v>0.48736110208590555</v>
      </c>
    </row>
    <row r="23" spans="2:14" x14ac:dyDescent="0.3">
      <c r="C23" s="1"/>
      <c r="D23" s="1"/>
      <c r="E23" s="1"/>
      <c r="F23" s="1"/>
      <c r="G23" s="1"/>
    </row>
    <row r="26" spans="2:14" x14ac:dyDescent="0.3"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G006</vt:lpstr>
      <vt:lpstr>G065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ZL</dc:creator>
  <cp:lastModifiedBy>lei zhou</cp:lastModifiedBy>
  <dcterms:created xsi:type="dcterms:W3CDTF">2015-06-05T18:19:34Z</dcterms:created>
  <dcterms:modified xsi:type="dcterms:W3CDTF">2026-10-15T08:53:08Z</dcterms:modified>
</cp:coreProperties>
</file>