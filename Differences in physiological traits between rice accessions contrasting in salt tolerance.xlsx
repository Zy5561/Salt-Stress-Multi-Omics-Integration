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试验\试验二\第二篇文章数据整理\形态生理指标（耐盐盐敏感品种)-整理完成\"/>
    </mc:Choice>
  </mc:AlternateContent>
  <xr:revisionPtr revIDLastSave="0" documentId="13_ncr:1_{22F57E27-90FF-403D-B86F-4509CBB2DAC1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ABA" sheetId="5" r:id="rId1"/>
    <sheet name="MDA" sheetId="12" r:id="rId2"/>
    <sheet name="GA" sheetId="10" r:id="rId3"/>
    <sheet name="RPO" sheetId="14" r:id="rId4"/>
    <sheet name="α-AL" sheetId="18" r:id="rId5"/>
    <sheet name="WU" sheetId="2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22" l="1"/>
  <c r="O31" i="22"/>
  <c r="O26" i="22"/>
  <c r="O25" i="22"/>
  <c r="L32" i="22"/>
  <c r="L31" i="22"/>
  <c r="L26" i="22"/>
  <c r="L25" i="22"/>
  <c r="I32" i="22"/>
  <c r="I31" i="22"/>
  <c r="I26" i="22"/>
  <c r="I25" i="22"/>
  <c r="F32" i="22"/>
  <c r="F31" i="22"/>
  <c r="F26" i="22"/>
  <c r="F25" i="22"/>
  <c r="C32" i="22"/>
  <c r="C31" i="22"/>
  <c r="C26" i="22"/>
  <c r="C25" i="22"/>
  <c r="O32" i="18"/>
  <c r="O31" i="18"/>
  <c r="O26" i="18"/>
  <c r="O25" i="18"/>
  <c r="L32" i="18"/>
  <c r="L31" i="18"/>
  <c r="L26" i="18"/>
  <c r="L25" i="18"/>
  <c r="I32" i="18"/>
  <c r="I31" i="18"/>
  <c r="I26" i="18"/>
  <c r="I25" i="18"/>
  <c r="F32" i="18"/>
  <c r="F31" i="18"/>
  <c r="F26" i="18"/>
  <c r="F25" i="18"/>
  <c r="C32" i="18"/>
  <c r="C31" i="18"/>
  <c r="C26" i="18"/>
  <c r="C25" i="18"/>
  <c r="O32" i="14"/>
  <c r="O31" i="14"/>
  <c r="L32" i="14"/>
  <c r="L31" i="14"/>
  <c r="I32" i="14"/>
  <c r="I31" i="14"/>
  <c r="F32" i="14"/>
  <c r="F31" i="14"/>
  <c r="C32" i="14"/>
  <c r="C31" i="14"/>
  <c r="O26" i="14"/>
  <c r="O25" i="14"/>
  <c r="L26" i="14"/>
  <c r="L25" i="14"/>
  <c r="I26" i="14"/>
  <c r="I25" i="14"/>
  <c r="F26" i="14"/>
  <c r="F25" i="14"/>
  <c r="C26" i="14"/>
  <c r="C25" i="14"/>
  <c r="O32" i="12"/>
  <c r="O31" i="12"/>
  <c r="L32" i="12"/>
  <c r="L31" i="12"/>
  <c r="I32" i="12"/>
  <c r="I31" i="12"/>
  <c r="F32" i="12"/>
  <c r="F31" i="12"/>
  <c r="C32" i="12"/>
  <c r="C31" i="12"/>
  <c r="O26" i="12"/>
  <c r="O25" i="12"/>
  <c r="L26" i="12"/>
  <c r="L25" i="12"/>
  <c r="I26" i="12"/>
  <c r="I25" i="12"/>
  <c r="F26" i="12"/>
  <c r="F25" i="12"/>
  <c r="C26" i="12"/>
  <c r="C25" i="12"/>
  <c r="O30" i="10"/>
  <c r="O29" i="10"/>
  <c r="L30" i="10"/>
  <c r="L29" i="10"/>
  <c r="I30" i="10"/>
  <c r="I29" i="10"/>
  <c r="F30" i="10"/>
  <c r="F29" i="10"/>
  <c r="C30" i="10"/>
  <c r="C29" i="10"/>
  <c r="O24" i="10"/>
  <c r="O23" i="10"/>
  <c r="L24" i="10"/>
  <c r="L23" i="10"/>
  <c r="I24" i="10"/>
  <c r="I23" i="10"/>
  <c r="F24" i="10"/>
  <c r="F23" i="10"/>
  <c r="C24" i="10"/>
  <c r="C23" i="10"/>
  <c r="O30" i="5"/>
  <c r="O24" i="5"/>
  <c r="L30" i="5"/>
  <c r="I30" i="5"/>
  <c r="F30" i="5"/>
  <c r="C30" i="5"/>
  <c r="L24" i="5"/>
  <c r="I24" i="5"/>
  <c r="F24" i="5"/>
  <c r="C24" i="5"/>
  <c r="O29" i="5"/>
  <c r="O23" i="5"/>
  <c r="L29" i="5"/>
  <c r="L23" i="5"/>
  <c r="I29" i="5"/>
  <c r="I23" i="5"/>
  <c r="F29" i="5"/>
  <c r="F23" i="5"/>
  <c r="C29" i="5"/>
  <c r="C23" i="5"/>
  <c r="O14" i="22"/>
  <c r="O19" i="22" s="1"/>
  <c r="L14" i="22"/>
  <c r="L16" i="22" s="1"/>
  <c r="I14" i="22"/>
  <c r="I16" i="22" s="1"/>
  <c r="F14" i="22"/>
  <c r="F17" i="22" s="1"/>
  <c r="C14" i="22"/>
  <c r="C18" i="22" s="1"/>
  <c r="O5" i="22"/>
  <c r="O8" i="22" s="1"/>
  <c r="L5" i="22"/>
  <c r="L8" i="22" s="1"/>
  <c r="I5" i="22"/>
  <c r="I9" i="22" s="1"/>
  <c r="F5" i="22"/>
  <c r="F7" i="22" s="1"/>
  <c r="C5" i="22"/>
  <c r="C10" i="22" s="1"/>
  <c r="L18" i="22" l="1"/>
  <c r="C17" i="22"/>
  <c r="C19" i="22"/>
  <c r="C16" i="22"/>
  <c r="C9" i="22"/>
  <c r="C7" i="22"/>
  <c r="C8" i="22"/>
  <c r="I18" i="22"/>
  <c r="O18" i="22"/>
  <c r="O16" i="22"/>
  <c r="L9" i="22"/>
  <c r="F8" i="22"/>
  <c r="F9" i="22"/>
  <c r="F10" i="22"/>
  <c r="I17" i="22"/>
  <c r="I10" i="22"/>
  <c r="L17" i="22"/>
  <c r="O9" i="22"/>
  <c r="I7" i="22"/>
  <c r="L10" i="22"/>
  <c r="O17" i="22"/>
  <c r="L7" i="22"/>
  <c r="O10" i="22"/>
  <c r="O7" i="22"/>
  <c r="F18" i="22"/>
  <c r="I8" i="22"/>
  <c r="F19" i="22"/>
  <c r="F16" i="22"/>
  <c r="I19" i="22"/>
  <c r="L19" i="22"/>
  <c r="O14" i="18" l="1"/>
  <c r="O19" i="18" s="1"/>
  <c r="O3" i="18"/>
  <c r="O7" i="18" s="1"/>
  <c r="L14" i="18"/>
  <c r="L18" i="18" s="1"/>
  <c r="L3" i="18"/>
  <c r="L8" i="18" s="1"/>
  <c r="I14" i="18"/>
  <c r="I19" i="18" s="1"/>
  <c r="I3" i="18"/>
  <c r="I8" i="18" s="1"/>
  <c r="F3" i="18"/>
  <c r="F8" i="18" s="1"/>
  <c r="F14" i="18"/>
  <c r="F19" i="18" s="1"/>
  <c r="C14" i="18"/>
  <c r="C18" i="18" s="1"/>
  <c r="C3" i="18"/>
  <c r="C7" i="18" s="1"/>
  <c r="F5" i="14"/>
  <c r="C6" i="14"/>
  <c r="O13" i="14"/>
  <c r="O18" i="14" s="1"/>
  <c r="L13" i="14"/>
  <c r="L18" i="14" s="1"/>
  <c r="I13" i="14"/>
  <c r="I18" i="14" s="1"/>
  <c r="F13" i="14"/>
  <c r="F18" i="14" s="1"/>
  <c r="C13" i="14"/>
  <c r="C18" i="14" s="1"/>
  <c r="O3" i="14"/>
  <c r="O8" i="14" s="1"/>
  <c r="L3" i="14"/>
  <c r="L6" i="14" s="1"/>
  <c r="I3" i="14"/>
  <c r="I8" i="14" s="1"/>
  <c r="F3" i="14"/>
  <c r="F8" i="14" s="1"/>
  <c r="C3" i="14"/>
  <c r="C5" i="14" s="1"/>
  <c r="S14" i="12"/>
  <c r="S19" i="12" s="1"/>
  <c r="O14" i="12"/>
  <c r="O18" i="12" s="1"/>
  <c r="K14" i="12"/>
  <c r="K19" i="12" s="1"/>
  <c r="G14" i="12"/>
  <c r="G19" i="12" s="1"/>
  <c r="C14" i="12"/>
  <c r="C17" i="12" s="1"/>
  <c r="S3" i="12"/>
  <c r="S8" i="12" s="1"/>
  <c r="O3" i="12"/>
  <c r="O6" i="12" s="1"/>
  <c r="K3" i="12"/>
  <c r="K8" i="12" s="1"/>
  <c r="G3" i="12"/>
  <c r="G8" i="12" s="1"/>
  <c r="C3" i="12"/>
  <c r="C8" i="12" s="1"/>
  <c r="C17" i="10"/>
  <c r="C16" i="10"/>
  <c r="C15" i="10"/>
  <c r="C14" i="10"/>
  <c r="O8" i="10"/>
  <c r="O7" i="10"/>
  <c r="O6" i="10"/>
  <c r="O5" i="10"/>
  <c r="F6" i="10"/>
  <c r="F5" i="10"/>
  <c r="O12" i="10"/>
  <c r="O15" i="10" s="1"/>
  <c r="L12" i="10"/>
  <c r="L17" i="10" s="1"/>
  <c r="I12" i="10"/>
  <c r="I17" i="10" s="1"/>
  <c r="F12" i="10"/>
  <c r="F17" i="10" s="1"/>
  <c r="C12" i="10"/>
  <c r="O3" i="10"/>
  <c r="L3" i="10"/>
  <c r="L8" i="10" s="1"/>
  <c r="I3" i="10"/>
  <c r="I8" i="10" s="1"/>
  <c r="F3" i="10"/>
  <c r="F8" i="10" s="1"/>
  <c r="C3" i="10"/>
  <c r="C5" i="10" s="1"/>
  <c r="O12" i="5"/>
  <c r="O17" i="5" s="1"/>
  <c r="L12" i="5"/>
  <c r="L17" i="5" s="1"/>
  <c r="I12" i="5"/>
  <c r="I17" i="5" s="1"/>
  <c r="F12" i="5"/>
  <c r="F16" i="5" s="1"/>
  <c r="C12" i="5"/>
  <c r="C17" i="5" s="1"/>
  <c r="O3" i="5"/>
  <c r="O6" i="5" s="1"/>
  <c r="L3" i="5"/>
  <c r="L5" i="5" s="1"/>
  <c r="I3" i="5"/>
  <c r="I5" i="5" s="1"/>
  <c r="F3" i="5"/>
  <c r="F6" i="5" s="1"/>
  <c r="C3" i="5"/>
  <c r="C7" i="5" s="1"/>
  <c r="F17" i="5" l="1"/>
  <c r="I14" i="5"/>
  <c r="F14" i="5"/>
  <c r="F15" i="5"/>
  <c r="F8" i="5"/>
  <c r="F7" i="5"/>
  <c r="L15" i="14"/>
  <c r="I15" i="14"/>
  <c r="C7" i="14"/>
  <c r="K17" i="12"/>
  <c r="K18" i="12"/>
  <c r="K16" i="12"/>
  <c r="O16" i="18"/>
  <c r="C19" i="18"/>
  <c r="L19" i="18"/>
  <c r="O5" i="18"/>
  <c r="O8" i="18"/>
  <c r="O17" i="18"/>
  <c r="O18" i="18"/>
  <c r="O6" i="18"/>
  <c r="L16" i="18"/>
  <c r="L17" i="18"/>
  <c r="L6" i="18"/>
  <c r="L5" i="18"/>
  <c r="L7" i="18"/>
  <c r="I16" i="18"/>
  <c r="I17" i="18"/>
  <c r="I18" i="18"/>
  <c r="I5" i="18"/>
  <c r="I7" i="18"/>
  <c r="I6" i="18"/>
  <c r="F6" i="18"/>
  <c r="F7" i="18"/>
  <c r="F5" i="18"/>
  <c r="F16" i="18"/>
  <c r="F17" i="18"/>
  <c r="F18" i="18"/>
  <c r="C16" i="18"/>
  <c r="C17" i="18"/>
  <c r="C8" i="18"/>
  <c r="C5" i="18"/>
  <c r="C6" i="18"/>
  <c r="C16" i="14"/>
  <c r="F16" i="14"/>
  <c r="C15" i="14"/>
  <c r="C17" i="14"/>
  <c r="F15" i="14"/>
  <c r="F17" i="14"/>
  <c r="I16" i="14"/>
  <c r="L17" i="14"/>
  <c r="I6" i="14"/>
  <c r="I5" i="14"/>
  <c r="I7" i="14"/>
  <c r="C8" i="14"/>
  <c r="I17" i="14"/>
  <c r="L5" i="14"/>
  <c r="L7" i="14"/>
  <c r="L8" i="14"/>
  <c r="O5" i="14"/>
  <c r="O6" i="14"/>
  <c r="L16" i="14"/>
  <c r="O7" i="14"/>
  <c r="F6" i="14"/>
  <c r="F7" i="14"/>
  <c r="O15" i="14"/>
  <c r="O16" i="14"/>
  <c r="O17" i="14"/>
  <c r="C18" i="12"/>
  <c r="C5" i="12"/>
  <c r="C6" i="12"/>
  <c r="C7" i="12"/>
  <c r="O16" i="12"/>
  <c r="C19" i="12"/>
  <c r="C16" i="12"/>
  <c r="O17" i="12"/>
  <c r="G16" i="12"/>
  <c r="G17" i="12"/>
  <c r="G18" i="12"/>
  <c r="O19" i="12"/>
  <c r="S16" i="12"/>
  <c r="S17" i="12"/>
  <c r="S18" i="12"/>
  <c r="G5" i="12"/>
  <c r="G6" i="12"/>
  <c r="G7" i="12"/>
  <c r="K5" i="12"/>
  <c r="O8" i="12"/>
  <c r="S7" i="12"/>
  <c r="K6" i="12"/>
  <c r="K7" i="12"/>
  <c r="S5" i="12"/>
  <c r="S6" i="12"/>
  <c r="O5" i="12"/>
  <c r="O7" i="12"/>
  <c r="F14" i="10"/>
  <c r="F15" i="10"/>
  <c r="F16" i="10"/>
  <c r="C7" i="10"/>
  <c r="C8" i="10"/>
  <c r="C6" i="10"/>
  <c r="L6" i="10"/>
  <c r="I15" i="10"/>
  <c r="I5" i="10"/>
  <c r="I7" i="10"/>
  <c r="L5" i="10"/>
  <c r="L7" i="10"/>
  <c r="I16" i="10"/>
  <c r="F7" i="10"/>
  <c r="I6" i="10"/>
  <c r="I14" i="10"/>
  <c r="O14" i="10"/>
  <c r="O16" i="10"/>
  <c r="O17" i="10"/>
  <c r="L14" i="10"/>
  <c r="L16" i="10"/>
  <c r="L15" i="10"/>
  <c r="L6" i="5"/>
  <c r="C5" i="5"/>
  <c r="C8" i="5"/>
  <c r="I15" i="5"/>
  <c r="C6" i="5"/>
  <c r="F5" i="5"/>
  <c r="I16" i="5"/>
  <c r="L8" i="5"/>
  <c r="O7" i="5"/>
  <c r="O8" i="5"/>
  <c r="L14" i="5"/>
  <c r="L15" i="5"/>
  <c r="L16" i="5"/>
  <c r="O14" i="5"/>
  <c r="O15" i="5"/>
  <c r="I6" i="5"/>
  <c r="I7" i="5"/>
  <c r="I8" i="5"/>
  <c r="C16" i="5"/>
  <c r="O16" i="5"/>
  <c r="L7" i="5"/>
  <c r="O5" i="5"/>
  <c r="C14" i="5"/>
  <c r="C15" i="5"/>
</calcChain>
</file>

<file path=xl/sharedStrings.xml><?xml version="1.0" encoding="utf-8"?>
<sst xmlns="http://schemas.openxmlformats.org/spreadsheetml/2006/main" count="1015" uniqueCount="265">
  <si>
    <t>CK-1-6H-G006</t>
  </si>
  <si>
    <t>CK-2-6H-G006</t>
  </si>
  <si>
    <t>CK-3-6H-G006</t>
  </si>
  <si>
    <t>T-1-6H-G006</t>
  </si>
  <si>
    <t>T-2-6H-G006</t>
  </si>
  <si>
    <t>T-3-6H-G006</t>
  </si>
  <si>
    <t>CK-1-12H-G006</t>
  </si>
  <si>
    <t>CK-2-12H-G006</t>
  </si>
  <si>
    <t>CK-3-12H-G006</t>
  </si>
  <si>
    <t>T-1-12H-G006</t>
  </si>
  <si>
    <t>T-2-12H-G006</t>
  </si>
  <si>
    <t>T-3-12H-G006</t>
  </si>
  <si>
    <t>CK-1-24H-G006</t>
  </si>
  <si>
    <t>CK-2-24H-G006</t>
  </si>
  <si>
    <t>CK-3-24H-G006</t>
  </si>
  <si>
    <t>T-1-24H-G006</t>
  </si>
  <si>
    <t>T-2-24H-G006</t>
  </si>
  <si>
    <t>T-3-24H-G006</t>
  </si>
  <si>
    <t>CK-1-36H-G006</t>
  </si>
  <si>
    <t>CK-2-36H-G006</t>
  </si>
  <si>
    <t>CK-3-36H-G006</t>
  </si>
  <si>
    <t>T-1-36H-G006</t>
  </si>
  <si>
    <t>T-2-36H-G006</t>
  </si>
  <si>
    <t>T-3-36H-G006</t>
  </si>
  <si>
    <t>CK-1-48H-G006</t>
  </si>
  <si>
    <t>CK-2-48H-G006</t>
  </si>
  <si>
    <t>CK-3-48H-G006</t>
  </si>
  <si>
    <t>T-1-48H-G006</t>
  </si>
  <si>
    <t>T-2-48H-G006</t>
  </si>
  <si>
    <t>T-3-48H-G006</t>
  </si>
  <si>
    <t>CK-1-6H-G065</t>
  </si>
  <si>
    <t>CK-2-6H-G065</t>
  </si>
  <si>
    <t>CK-3-6H-G065</t>
  </si>
  <si>
    <t>T-1-6H-G065</t>
  </si>
  <si>
    <t>T-2-6H-G065</t>
  </si>
  <si>
    <t>T-3-6H-G065</t>
  </si>
  <si>
    <t>CK-1-12H-G065</t>
  </si>
  <si>
    <t>CK-2-12H-G065</t>
  </si>
  <si>
    <t>CK-3-12H-G065</t>
  </si>
  <si>
    <t>T-1-12H-G065</t>
  </si>
  <si>
    <t>T-2-12H-G065</t>
  </si>
  <si>
    <t>T-3-12H-G065</t>
  </si>
  <si>
    <t>CK-1-24H-G065</t>
  </si>
  <si>
    <t>CK-2-24H-G065</t>
  </si>
  <si>
    <t>CK-3-24H-G065</t>
  </si>
  <si>
    <t>T-1-24H-G065</t>
  </si>
  <si>
    <t>T-2-24H-G065</t>
  </si>
  <si>
    <t>T-3-24H-G065</t>
  </si>
  <si>
    <t>CK-1-36H-G065</t>
  </si>
  <si>
    <t>CK-2-36H-G065</t>
  </si>
  <si>
    <t>CK-3-36H-G065</t>
  </si>
  <si>
    <t>T-1-36H-G065</t>
  </si>
  <si>
    <t>T-2-36H-G065</t>
  </si>
  <si>
    <t>T-3-36H-G065</t>
  </si>
  <si>
    <t>CK-1-48H-G065</t>
  </si>
  <si>
    <t>CK-2-48H-G065</t>
  </si>
  <si>
    <t>CK-3-48H-G065</t>
  </si>
  <si>
    <t>T-1-48H-G065</t>
  </si>
  <si>
    <t>T-2-48H-G065</t>
  </si>
  <si>
    <t>T-3-48H-G065</t>
  </si>
  <si>
    <t>相对值</t>
    <phoneticPr fontId="3" type="noConversion"/>
  </si>
  <si>
    <t>1-6H-G006</t>
  </si>
  <si>
    <t>1-6H-G006</t>
    <phoneticPr fontId="3" type="noConversion"/>
  </si>
  <si>
    <t>1-12H-G006</t>
  </si>
  <si>
    <t>1-24H-G006</t>
  </si>
  <si>
    <t>1-36H-G006</t>
  </si>
  <si>
    <t>1-48H-G006</t>
  </si>
  <si>
    <t>2-6H-G006</t>
  </si>
  <si>
    <t>2-12H-G006</t>
  </si>
  <si>
    <t>2-24H-G006</t>
  </si>
  <si>
    <t>2-36H-G006</t>
  </si>
  <si>
    <t>2-48H-G006</t>
  </si>
  <si>
    <t>3-6H-G006</t>
  </si>
  <si>
    <t>3-12H-G006</t>
  </si>
  <si>
    <t>3-24H-G006</t>
  </si>
  <si>
    <t>3-36H-G006</t>
  </si>
  <si>
    <t>3-48H-G006</t>
  </si>
  <si>
    <t>1-6H-G065</t>
  </si>
  <si>
    <t>1-12H-G065</t>
  </si>
  <si>
    <t>1-24H-G065</t>
  </si>
  <si>
    <t>1-36H-G065</t>
  </si>
  <si>
    <t>1-48H-G065</t>
  </si>
  <si>
    <t>2-6H-G065</t>
  </si>
  <si>
    <t>2-12H-G065</t>
  </si>
  <si>
    <t>2-24H-G065</t>
  </si>
  <si>
    <t>3-36H-G065</t>
  </si>
  <si>
    <t>2-48H-G065</t>
  </si>
  <si>
    <t>3-6H-G065</t>
  </si>
  <si>
    <t>3-12H-G065</t>
  </si>
  <si>
    <t>3-24H-G065</t>
  </si>
  <si>
    <t>3-48H-G065</t>
  </si>
  <si>
    <t>2-36H-G065</t>
  </si>
  <si>
    <t>不显著</t>
    <phoneticPr fontId="3" type="noConversion"/>
  </si>
  <si>
    <t>极显著</t>
    <phoneticPr fontId="3" type="noConversion"/>
  </si>
  <si>
    <t>显著</t>
    <phoneticPr fontId="3" type="noConversion"/>
  </si>
  <si>
    <t>时间点</t>
  </si>
  <si>
    <t>G006均值</t>
  </si>
  <si>
    <t>G065均值</t>
  </si>
  <si>
    <t>p值</t>
  </si>
  <si>
    <t>12H</t>
  </si>
  <si>
    <t>&lt;0.0001</t>
  </si>
  <si>
    <t>24H</t>
  </si>
  <si>
    <t>36H</t>
  </si>
  <si>
    <t>48H</t>
  </si>
  <si>
    <t>6H</t>
    <phoneticPr fontId="3" type="noConversion"/>
  </si>
  <si>
    <t>间点</t>
  </si>
  <si>
    <t>均值差(G006−G065)</t>
  </si>
  <si>
    <t>结论</t>
  </si>
  <si>
    <t>6H</t>
  </si>
  <si>
    <t>−0.0135</t>
  </si>
  <si>
    <t>⚠️ 临界</t>
  </si>
  <si>
    <t>−0.0126</t>
  </si>
  <si>
    <t>❌ 不显著</t>
  </si>
  <si>
    <t>−0.0129</t>
  </si>
  <si>
    <t>✅ 显著</t>
  </si>
  <si>
    <t>−0.0210</t>
  </si>
  <si>
    <t>−0.0278</t>
  </si>
  <si>
    <t>✅ 极显著</t>
  </si>
  <si>
    <t>CK-2-12H-G006</t>
    <phoneticPr fontId="3" type="noConversion"/>
  </si>
  <si>
    <t>CK-3-12H-G006</t>
    <phoneticPr fontId="3" type="noConversion"/>
  </si>
  <si>
    <t>T-2-12H-G006</t>
    <phoneticPr fontId="3" type="noConversion"/>
  </si>
  <si>
    <t>CK-2-24H-G006</t>
    <phoneticPr fontId="3" type="noConversion"/>
  </si>
  <si>
    <t>CK-3-24H-G006</t>
    <phoneticPr fontId="3" type="noConversion"/>
  </si>
  <si>
    <t>T-2-24H-G006</t>
    <phoneticPr fontId="3" type="noConversion"/>
  </si>
  <si>
    <t>T-3-24H-G006</t>
    <phoneticPr fontId="3" type="noConversion"/>
  </si>
  <si>
    <t>CK-2-36H-G006</t>
    <phoneticPr fontId="3" type="noConversion"/>
  </si>
  <si>
    <t>T-2-36H-G006</t>
    <phoneticPr fontId="3" type="noConversion"/>
  </si>
  <si>
    <t>T-3-36H-G006</t>
    <phoneticPr fontId="3" type="noConversion"/>
  </si>
  <si>
    <t>CK-2-48H-G006</t>
    <phoneticPr fontId="3" type="noConversion"/>
  </si>
  <si>
    <t>T-2-48H-G006</t>
    <phoneticPr fontId="3" type="noConversion"/>
  </si>
  <si>
    <t>CK-3-6H-G065</t>
    <phoneticPr fontId="3" type="noConversion"/>
  </si>
  <si>
    <t>CK-1-24H-G006</t>
    <phoneticPr fontId="3" type="noConversion"/>
  </si>
  <si>
    <t>✅ 极极显著</t>
  </si>
  <si>
    <t>✅ G006极显著更高</t>
  </si>
  <si>
    <t>−0.025</t>
  </si>
  <si>
    <t>−0.087</t>
  </si>
  <si>
    <t>CK-2-6H-G006-1</t>
  </si>
  <si>
    <t>CK-3-6H-G006-1</t>
  </si>
  <si>
    <t>CK-3-6H-G006-2</t>
  </si>
  <si>
    <t>T-2-6H-G006-1</t>
  </si>
  <si>
    <t>T-2-6H-G006-2</t>
  </si>
  <si>
    <t>CK-2-12H-G006-1</t>
  </si>
  <si>
    <t>CK-2-12H-G006-2</t>
  </si>
  <si>
    <t>CK-3-12H-G006-1</t>
  </si>
  <si>
    <t>T-2-12H-G006-1</t>
  </si>
  <si>
    <t>T-2-12H-G006-2</t>
  </si>
  <si>
    <t>CK-2-24H-G006-1</t>
  </si>
  <si>
    <t>CK-2-24H-G006-2</t>
  </si>
  <si>
    <t>CK-3-24H-G006-2</t>
  </si>
  <si>
    <t>T-2-24H-G006-1</t>
  </si>
  <si>
    <t>T-2-24H-G006-2</t>
  </si>
  <si>
    <t>T-3-24H-G006-2</t>
  </si>
  <si>
    <t>CK-2-36H-G006-1</t>
  </si>
  <si>
    <t>CK-2-36H-G006-2</t>
  </si>
  <si>
    <t>T-2-36H-G006-2</t>
  </si>
  <si>
    <t>T-3-36H-G006-1</t>
  </si>
  <si>
    <t>T-3-36H-G006-2</t>
  </si>
  <si>
    <t>CK-2-48H-G006-1</t>
  </si>
  <si>
    <t>CK-2-48H-G006-2</t>
  </si>
  <si>
    <t>T-2-48H-G006-1</t>
  </si>
  <si>
    <t>T-3-48H-G006-1</t>
  </si>
  <si>
    <t>T-3-48H-G006-2</t>
  </si>
  <si>
    <t>CK-2-6H-G065-1</t>
  </si>
  <si>
    <t>CK-2-6H-G065-2</t>
  </si>
  <si>
    <t>CK-3-6H-G065-1</t>
  </si>
  <si>
    <t>CK-3-6H-G065-2</t>
  </si>
  <si>
    <t>T-2-6H-G065-2</t>
  </si>
  <si>
    <t>T-3-6H-G065-1</t>
  </si>
  <si>
    <t>T-3-6H-G065-2</t>
  </si>
  <si>
    <t>CK-2-12H-G065-1</t>
  </si>
  <si>
    <t>CK-3-12H-G065-1</t>
  </si>
  <si>
    <t>CK-3-12H-G065-2</t>
  </si>
  <si>
    <t>T-2-12H-G065-1</t>
  </si>
  <si>
    <t>T-2-12H-G065-2</t>
  </si>
  <si>
    <t>T-3-12H-G065-1</t>
  </si>
  <si>
    <t>CK-2-24H-G065-1</t>
  </si>
  <si>
    <t>CK-2-24H-G065-2</t>
  </si>
  <si>
    <t>CK-3-24H-G065-1</t>
  </si>
  <si>
    <t>T-2-24H-G065-1</t>
  </si>
  <si>
    <t>T-2-24H-G065-2</t>
  </si>
  <si>
    <t>T-3-24H-G065-1</t>
  </si>
  <si>
    <t>T-3-24H-G065-2</t>
  </si>
  <si>
    <t>CK-2-36H-G065-1</t>
  </si>
  <si>
    <t>CK-2-36H-G065-2</t>
  </si>
  <si>
    <t>CK-3-36H-G065-1</t>
  </si>
  <si>
    <t>T-2-36H-G065-1</t>
  </si>
  <si>
    <t>T-3-36H-G065-1</t>
  </si>
  <si>
    <t>T-3-36H-G065-2</t>
  </si>
  <si>
    <t>CK-2-48H-G065-1</t>
  </si>
  <si>
    <t>CK-2-48H-G065-2</t>
  </si>
  <si>
    <t>CK-3-48H-G065-1</t>
  </si>
  <si>
    <t>T-2-48H-G065-1</t>
  </si>
  <si>
    <t>T-2-48H-G065-2</t>
  </si>
  <si>
    <t>T-3-48H-G065-2</t>
  </si>
  <si>
    <t xml:space="preserve">                   </t>
    <phoneticPr fontId="3" type="noConversion"/>
  </si>
  <si>
    <t>❌ 不显著，G006略高</t>
  </si>
  <si>
    <t>−0.028</t>
  </si>
  <si>
    <t>−0.006</t>
  </si>
  <si>
    <t>❌ 完全无差异</t>
  </si>
  <si>
    <t>−0.069</t>
  </si>
  <si>
    <t>✅ 显著，G065更高</t>
  </si>
  <si>
    <t>计算结果:(ng/mL)</t>
  </si>
  <si>
    <t>初始10g</t>
    <phoneticPr fontId="3" type="noConversion"/>
  </si>
  <si>
    <t>CK-1-6H-G006</t>
    <phoneticPr fontId="3" type="noConversion"/>
  </si>
  <si>
    <t>T-3-6H-G006</t>
    <phoneticPr fontId="3" type="noConversion"/>
  </si>
  <si>
    <t>CK-1-6H-G065</t>
    <phoneticPr fontId="3" type="noConversion"/>
  </si>
  <si>
    <t>CK-1-12H-G006</t>
    <phoneticPr fontId="3" type="noConversion"/>
  </si>
  <si>
    <t>T-1-12H-G006</t>
    <phoneticPr fontId="3" type="noConversion"/>
  </si>
  <si>
    <t>T-3-12H-G006</t>
    <phoneticPr fontId="3" type="noConversion"/>
  </si>
  <si>
    <t>T-1-24H-G006</t>
    <phoneticPr fontId="3" type="noConversion"/>
  </si>
  <si>
    <t>CK-1-36H-G006</t>
    <phoneticPr fontId="3" type="noConversion"/>
  </si>
  <si>
    <t>CK-3-36H-G006</t>
    <phoneticPr fontId="3" type="noConversion"/>
  </si>
  <si>
    <t>T-1-36H-G006</t>
    <phoneticPr fontId="3" type="noConversion"/>
  </si>
  <si>
    <t>CK-1-48H-G006</t>
    <phoneticPr fontId="3" type="noConversion"/>
  </si>
  <si>
    <t>CK-3-48H-G006</t>
    <phoneticPr fontId="3" type="noConversion"/>
  </si>
  <si>
    <t>T-1-48H-G006</t>
    <phoneticPr fontId="3" type="noConversion"/>
  </si>
  <si>
    <t>G006</t>
    <phoneticPr fontId="3" type="noConversion"/>
  </si>
  <si>
    <t>G006-STDEV</t>
    <phoneticPr fontId="3" type="noConversion"/>
  </si>
  <si>
    <t>G065</t>
    <phoneticPr fontId="3" type="noConversion"/>
  </si>
  <si>
    <t>G065-STDEV</t>
    <phoneticPr fontId="3" type="noConversion"/>
  </si>
  <si>
    <t>12H</t>
    <phoneticPr fontId="3" type="noConversion"/>
  </si>
  <si>
    <t>24H</t>
    <phoneticPr fontId="3" type="noConversion"/>
  </si>
  <si>
    <t>36H</t>
    <phoneticPr fontId="3" type="noConversion"/>
  </si>
  <si>
    <t>48H</t>
    <phoneticPr fontId="3" type="noConversion"/>
  </si>
  <si>
    <t>CK-3-6H-G007</t>
  </si>
  <si>
    <t>T-3-6H-G007</t>
  </si>
  <si>
    <t>CK-3-12H-G007</t>
  </si>
  <si>
    <t>T-3-12H-G007</t>
  </si>
  <si>
    <t>CK-3-24H-G007</t>
  </si>
  <si>
    <t>T-3-24H-G007</t>
  </si>
  <si>
    <t>CK-3-36H-G007</t>
  </si>
  <si>
    <t>T-3-36H-G007</t>
  </si>
  <si>
    <t>CK-3-48H-G007</t>
  </si>
  <si>
    <t>T-3-48H-G007</t>
  </si>
  <si>
    <t>CK-3-6H-G066</t>
  </si>
  <si>
    <t>T-3-6H-G066</t>
  </si>
  <si>
    <t>CK-3-12H-G066</t>
  </si>
  <si>
    <t>T-3-12H-G066</t>
  </si>
  <si>
    <t>CK-3-24H-G066</t>
  </si>
  <si>
    <t>T-3-24H-G066</t>
  </si>
  <si>
    <t>CK-3-36H-G066</t>
  </si>
  <si>
    <t>T-3-36H-G066</t>
  </si>
  <si>
    <t>CK-3-48H-G066</t>
  </si>
  <si>
    <t>T-3-48H-G066</t>
  </si>
  <si>
    <t>G006 均值</t>
  </si>
  <si>
    <t>G065 均值</t>
  </si>
  <si>
    <t>p 值</t>
  </si>
  <si>
    <t>−0.001</t>
  </si>
  <si>
    <t>❌ 无差异</t>
  </si>
  <si>
    <t>−0.013</t>
  </si>
  <si>
    <t>−0.016</t>
  </si>
  <si>
    <t>−0.027</t>
  </si>
  <si>
    <t>均值差
(G006−G065)</t>
  </si>
  <si>
    <t>−0.007</t>
  </si>
  <si>
    <t>0.594</t>
  </si>
  <si>
    <t>+0.015</t>
  </si>
  <si>
    <t>0.102</t>
  </si>
  <si>
    <t>+0.025</t>
  </si>
  <si>
    <t>0.005</t>
  </si>
  <si>
    <t>+0.069</t>
  </si>
  <si>
    <t>&lt;0.001</t>
  </si>
  <si>
    <t>+0.040</t>
  </si>
  <si>
    <t>0.003</t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</si>
  <si>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等线"/>
        <family val="3"/>
        <charset val="134"/>
        <scheme val="minor"/>
      </rPr>
      <t xml:space="preserve"> 极显著</t>
    </r>
    <phoneticPr fontId="3" type="noConversion"/>
  </si>
  <si>
    <t>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</si>
</sst>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);[Red]\(0.0000\)"/>
    <numFmt numFmtId="177" formatCode="0.00_ "/>
    <numFmt numFmtId="178" formatCode="0.0000_ "/>
  </numFmts>
  <fonts count="8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1"/>
      <name val="Microsoft YaHei UI Light"/>
      <family val="2"/>
      <charset val="134"/>
    </font>
    <font>
      <sz val="9"/>
      <name val="等线"/>
      <family val="3"/>
      <charset val="134"/>
      <scheme val="minor"/>
    </font>
    <font>
      <sz val="12"/>
      <name val="Times New Roman"/>
      <family val="1"/>
    </font>
    <font>
      <sz val="11"/>
      <color theme="1"/>
      <name val="Microsoft YaHei UI Light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Segoe UI Emoj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/>
    <xf numFmtId="176" fontId="2" fillId="2" borderId="1" xfId="1" applyNumberFormat="1" applyFont="1" applyFill="1" applyBorder="1" applyAlignment="1" applyProtection="1">
      <alignment horizontal="center" vertical="center"/>
      <protection locked="0"/>
    </xf>
    <xf numFmtId="176" fontId="2" fillId="0" borderId="1" xfId="1" applyNumberFormat="1" applyFont="1" applyBorder="1" applyAlignment="1" applyProtection="1">
      <alignment horizontal="center" vertical="center"/>
      <protection locked="0"/>
    </xf>
    <xf numFmtId="0" fontId="0" fillId="2" borderId="0" xfId="0" applyFill="1"/>
    <xf numFmtId="176" fontId="0" fillId="2" borderId="0" xfId="0" applyNumberFormat="1" applyFill="1"/>
    <xf numFmtId="176" fontId="2" fillId="0" borderId="0" xfId="1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76" fontId="0" fillId="0" borderId="0" xfId="0" applyNumberFormat="1"/>
    <xf numFmtId="0" fontId="0" fillId="2" borderId="1" xfId="0" applyFill="1" applyBorder="1"/>
    <xf numFmtId="176" fontId="0" fillId="2" borderId="1" xfId="0" applyNumberFormat="1" applyFill="1" applyBorder="1"/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/>
    <xf numFmtId="178" fontId="5" fillId="0" borderId="0" xfId="0" applyNumberFormat="1" applyFont="1"/>
    <xf numFmtId="0" fontId="2" fillId="0" borderId="0" xfId="0" applyFont="1" applyAlignment="1">
      <alignment horizontal="left" vertical="center"/>
    </xf>
    <xf numFmtId="176" fontId="2" fillId="2" borderId="1" xfId="0" applyNumberFormat="1" applyFont="1" applyFill="1" applyBorder="1" applyAlignment="1" applyProtection="1">
      <alignment horizontal="center" vertical="center"/>
      <protection locked="0"/>
    </xf>
    <xf numFmtId="178" fontId="2" fillId="2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/>
    <xf numFmtId="178" fontId="0" fillId="2" borderId="1" xfId="0" applyNumberFormat="1" applyFill="1" applyBorder="1"/>
    <xf numFmtId="178" fontId="2" fillId="0" borderId="0" xfId="0" applyNumberFormat="1" applyFont="1" applyAlignment="1" applyProtection="1">
      <alignment horizontal="center" vertical="center"/>
      <protection locked="0"/>
    </xf>
    <xf numFmtId="176" fontId="2" fillId="4" borderId="1" xfId="1" applyNumberFormat="1" applyFont="1" applyFill="1" applyBorder="1" applyAlignment="1" applyProtection="1">
      <alignment horizontal="center" vertical="center"/>
      <protection locked="0"/>
    </xf>
    <xf numFmtId="176" fontId="5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/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 xr:uid="{4455F789-0F4A-4424-B2F1-698D73F8B7CE}"/>
    <cellStyle name="常规 3" xfId="2" xr:uid="{C5BAF39A-76F6-4F93-9FD1-E275B083B385}"/>
  </cellStyles>
  <dxfs count="27">
    <dxf>
      <fill>
        <patternFill patternType="solid">
          <bgColor rgb="FFFFFF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400">
                <a:solidFill>
                  <a:schemeClr val="tx1"/>
                </a:solidFill>
                <a:latin typeface="Arial" panose="020B0604020202020204" pitchFamily="34" charset="0"/>
                <a:ea typeface="Arial Unicode MS" panose="020B0604020202020204" pitchFamily="34" charset="-122"/>
                <a:cs typeface="Arial" panose="020B0604020202020204" pitchFamily="34" charset="0"/>
              </a:rPr>
              <a:t>R-ABA</a:t>
            </a:r>
            <a:endParaRPr lang="zh-CN" altLang="en-US" sz="2400">
              <a:solidFill>
                <a:schemeClr val="tx1"/>
              </a:solidFill>
              <a:latin typeface="Arial" panose="020B0604020202020204" pitchFamily="34" charset="0"/>
              <a:ea typeface="Arial Unicode MS" panose="020B0604020202020204" pitchFamily="34" charset="-122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7845575685363247"/>
          <c:y val="1.86385767171889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ABA!$B$51</c:f>
              <c:strCache>
                <c:ptCount val="1"/>
                <c:pt idx="0">
                  <c:v>G006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ABA!$C$44:$C$48</c:f>
                <c:numCache>
                  <c:formatCode>General</c:formatCode>
                  <c:ptCount val="5"/>
                  <c:pt idx="0">
                    <c:v>1.7660264535398755E-2</c:v>
                  </c:pt>
                  <c:pt idx="1">
                    <c:v>9.3916349502088919E-3</c:v>
                  </c:pt>
                  <c:pt idx="2">
                    <c:v>9.6037091818751506E-3</c:v>
                  </c:pt>
                  <c:pt idx="3">
                    <c:v>8.594921490213344E-3</c:v>
                  </c:pt>
                  <c:pt idx="4">
                    <c:v>1.3323781421496796E-2</c:v>
                  </c:pt>
                </c:numCache>
              </c:numRef>
            </c:plus>
            <c:minus>
              <c:numRef>
                <c:f>ABA!$C$44:$C$48</c:f>
                <c:numCache>
                  <c:formatCode>General</c:formatCode>
                  <c:ptCount val="5"/>
                  <c:pt idx="0">
                    <c:v>1.7660264535398755E-2</c:v>
                  </c:pt>
                  <c:pt idx="1">
                    <c:v>9.3916349502088919E-3</c:v>
                  </c:pt>
                  <c:pt idx="2">
                    <c:v>9.6037091818751506E-3</c:v>
                  </c:pt>
                  <c:pt idx="3">
                    <c:v>8.594921490213344E-3</c:v>
                  </c:pt>
                  <c:pt idx="4">
                    <c:v>1.3323781421496796E-2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ABA!$A$52:$A$56</c:f>
              <c:strCache>
                <c:ptCount val="5"/>
                <c:pt idx="0">
                  <c:v>6H</c:v>
                </c:pt>
                <c:pt idx="1">
                  <c:v>12H</c:v>
                </c:pt>
                <c:pt idx="2">
                  <c:v>24H</c:v>
                </c:pt>
                <c:pt idx="3">
                  <c:v>36H</c:v>
                </c:pt>
                <c:pt idx="4">
                  <c:v>48H</c:v>
                </c:pt>
              </c:strCache>
            </c:strRef>
          </c:cat>
          <c:val>
            <c:numRef>
              <c:f>ABA!$B$52:$B$56</c:f>
              <c:numCache>
                <c:formatCode>General</c:formatCode>
                <c:ptCount val="5"/>
                <c:pt idx="0">
                  <c:v>1.3353884580917099</c:v>
                </c:pt>
                <c:pt idx="1">
                  <c:v>1.2875160592354999</c:v>
                </c:pt>
                <c:pt idx="2">
                  <c:v>1.2892627562647165</c:v>
                </c:pt>
                <c:pt idx="3">
                  <c:v>1.43969238976393</c:v>
                </c:pt>
                <c:pt idx="4">
                  <c:v>1.4472067476544941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2B-4115-A573-9DB7046D7753}"/>
            </c:ext>
          </c:extLst>
        </c:ser>
        <c:ser>
          <c:idx val="1"/>
          <c:order val="1"/>
          <c:tx>
            <c:strRef>
              <c:f>ABA!$C$51</c:f>
              <c:strCache>
                <c:ptCount val="1"/>
                <c:pt idx="0">
                  <c:v>G065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ABA!$L$44:$L$48</c:f>
                <c:numCache>
                  <c:formatCode>General</c:formatCode>
                  <c:ptCount val="5"/>
                  <c:pt idx="0">
                    <c:v>1.0337834135580433E-2</c:v>
                  </c:pt>
                  <c:pt idx="1">
                    <c:v>9.8829970841078831E-3</c:v>
                  </c:pt>
                  <c:pt idx="2">
                    <c:v>3.9497391321924339E-3</c:v>
                  </c:pt>
                  <c:pt idx="3">
                    <c:v>8.435277377111014E-3</c:v>
                  </c:pt>
                  <c:pt idx="4">
                    <c:v>4.6316031863210391E-3</c:v>
                  </c:pt>
                </c:numCache>
              </c:numRef>
            </c:plus>
            <c:minus>
              <c:numRef>
                <c:f>ABA!$L$44:$L$48</c:f>
                <c:numCache>
                  <c:formatCode>General</c:formatCode>
                  <c:ptCount val="5"/>
                  <c:pt idx="0">
                    <c:v>1.0337834135580433E-2</c:v>
                  </c:pt>
                  <c:pt idx="1">
                    <c:v>9.8829970841078831E-3</c:v>
                  </c:pt>
                  <c:pt idx="2">
                    <c:v>3.9497391321924339E-3</c:v>
                  </c:pt>
                  <c:pt idx="3">
                    <c:v>8.435277377111014E-3</c:v>
                  </c:pt>
                  <c:pt idx="4">
                    <c:v>4.6316031863210391E-3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ABA!$A$52:$A$56</c:f>
              <c:strCache>
                <c:ptCount val="5"/>
                <c:pt idx="0">
                  <c:v>6H</c:v>
                </c:pt>
                <c:pt idx="1">
                  <c:v>12H</c:v>
                </c:pt>
                <c:pt idx="2">
                  <c:v>24H</c:v>
                </c:pt>
                <c:pt idx="3">
                  <c:v>36H</c:v>
                </c:pt>
                <c:pt idx="4">
                  <c:v>48H</c:v>
                </c:pt>
              </c:strCache>
            </c:strRef>
          </c:cat>
          <c:val>
            <c:numRef>
              <c:f>ABA!$C$52:$C$56</c:f>
              <c:numCache>
                <c:formatCode>General</c:formatCode>
                <c:ptCount val="5"/>
                <c:pt idx="0">
                  <c:v>1.3420381005334989</c:v>
                </c:pt>
                <c:pt idx="1">
                  <c:v>1.2723382224854891</c:v>
                </c:pt>
                <c:pt idx="2">
                  <c:v>1.2638160507013727</c:v>
                </c:pt>
                <c:pt idx="3">
                  <c:v>1.3710709220829933</c:v>
                </c:pt>
                <c:pt idx="4">
                  <c:v>1.4076390503608851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2B-4115-A573-9DB7046D7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584064"/>
        <c:axId val="1274584544"/>
      </c:lineChart>
      <c:catAx>
        <c:axId val="12745840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74584544"/>
        <c:crosses val="autoZero"/>
        <c:auto val="1"/>
        <c:lblAlgn val="ctr"/>
        <c:lblOffset val="100"/>
        <c:noMultiLvlLbl val="0"/>
      </c:catAx>
      <c:valAx>
        <c:axId val="1274584544"/>
        <c:scaling>
          <c:orientation val="minMax"/>
          <c:max val="1.5"/>
          <c:min val="1.2"/>
        </c:scaling>
        <c:delete val="0"/>
        <c:axPos val="l"/>
        <c:numFmt formatCode="#,##0.0_);[Red]\(#,##0.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74584064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400">
                <a:solidFill>
                  <a:schemeClr val="tx1"/>
                </a:solidFill>
                <a:latin typeface="Arial" panose="020B0604020202020204" pitchFamily="34" charset="0"/>
                <a:ea typeface="Arial Unicode MS" panose="020B0604020202020204" pitchFamily="34" charset="-122"/>
                <a:cs typeface="Arial" panose="020B0604020202020204" pitchFamily="34" charset="0"/>
              </a:rPr>
              <a:t>R-MDA</a:t>
            </a:r>
            <a:endParaRPr lang="zh-CN" altLang="en-US" sz="2400">
              <a:solidFill>
                <a:schemeClr val="tx1"/>
              </a:solidFill>
              <a:latin typeface="Arial" panose="020B0604020202020204" pitchFamily="34" charset="0"/>
              <a:ea typeface="Arial Unicode MS" panose="020B0604020202020204" pitchFamily="34" charset="-122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42136419230407374"/>
          <c:y val="2.6359485263594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MDA!$B$51</c:f>
              <c:strCache>
                <c:ptCount val="1"/>
                <c:pt idx="0">
                  <c:v>G006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MDA!$C$44:$C$48</c:f>
                <c:numCache>
                  <c:formatCode>General</c:formatCode>
                  <c:ptCount val="5"/>
                  <c:pt idx="0">
                    <c:v>5.2500792470773029E-2</c:v>
                  </c:pt>
                  <c:pt idx="1">
                    <c:v>7.4187659784265614E-2</c:v>
                  </c:pt>
                  <c:pt idx="2">
                    <c:v>1.5488477394394372E-2</c:v>
                  </c:pt>
                  <c:pt idx="3">
                    <c:v>5.8877079730097516E-2</c:v>
                  </c:pt>
                  <c:pt idx="4">
                    <c:v>2.5289957969786728E-2</c:v>
                  </c:pt>
                </c:numCache>
              </c:numRef>
            </c:plus>
            <c:minus>
              <c:numRef>
                <c:f>MDA!$C$44:$C$48</c:f>
                <c:numCache>
                  <c:formatCode>General</c:formatCode>
                  <c:ptCount val="5"/>
                  <c:pt idx="0">
                    <c:v>5.2500792470773029E-2</c:v>
                  </c:pt>
                  <c:pt idx="1">
                    <c:v>7.4187659784265614E-2</c:v>
                  </c:pt>
                  <c:pt idx="2">
                    <c:v>1.5488477394394372E-2</c:v>
                  </c:pt>
                  <c:pt idx="3">
                    <c:v>5.8877079730097516E-2</c:v>
                  </c:pt>
                  <c:pt idx="4">
                    <c:v>2.5289957969786728E-2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MDA!$A$52:$A$56</c:f>
              <c:strCache>
                <c:ptCount val="5"/>
                <c:pt idx="0">
                  <c:v>6H</c:v>
                </c:pt>
                <c:pt idx="1">
                  <c:v>12H</c:v>
                </c:pt>
                <c:pt idx="2">
                  <c:v>24H</c:v>
                </c:pt>
                <c:pt idx="3">
                  <c:v>36H</c:v>
                </c:pt>
                <c:pt idx="4">
                  <c:v>48H</c:v>
                </c:pt>
              </c:strCache>
            </c:strRef>
          </c:cat>
          <c:val>
            <c:numRef>
              <c:f>MDA!$B$52:$B$56</c:f>
              <c:numCache>
                <c:formatCode>General</c:formatCode>
                <c:ptCount val="5"/>
                <c:pt idx="0">
                  <c:v>1.0379033698499645</c:v>
                </c:pt>
                <c:pt idx="1">
                  <c:v>1.2638626364673291</c:v>
                </c:pt>
                <c:pt idx="2">
                  <c:v>1.3335874418532292</c:v>
                </c:pt>
                <c:pt idx="3">
                  <c:v>1.3577659110270741</c:v>
                </c:pt>
                <c:pt idx="4">
                  <c:v>1.3162742375960308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B-4604-9451-7C0B2BC41484}"/>
            </c:ext>
          </c:extLst>
        </c:ser>
        <c:ser>
          <c:idx val="1"/>
          <c:order val="1"/>
          <c:tx>
            <c:strRef>
              <c:f>MDA!$C$51</c:f>
              <c:strCache>
                <c:ptCount val="1"/>
                <c:pt idx="0">
                  <c:v>G065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MDA!$L$44:$L$48</c:f>
                <c:numCache>
                  <c:formatCode>General</c:formatCode>
                  <c:ptCount val="5"/>
                  <c:pt idx="0">
                    <c:v>3.7496575811525532E-2</c:v>
                  </c:pt>
                  <c:pt idx="1">
                    <c:v>3.3525339202934823E-2</c:v>
                  </c:pt>
                  <c:pt idx="2">
                    <c:v>3.0306008166431277E-2</c:v>
                  </c:pt>
                  <c:pt idx="3">
                    <c:v>4.6718472283110782E-2</c:v>
                  </c:pt>
                  <c:pt idx="4">
                    <c:v>2.7305017405530721E-2</c:v>
                  </c:pt>
                </c:numCache>
              </c:numRef>
            </c:plus>
            <c:minus>
              <c:numRef>
                <c:f>MDA!$L$44:$L$48</c:f>
                <c:numCache>
                  <c:formatCode>General</c:formatCode>
                  <c:ptCount val="5"/>
                  <c:pt idx="0">
                    <c:v>3.7496575811525532E-2</c:v>
                  </c:pt>
                  <c:pt idx="1">
                    <c:v>3.3525339202934823E-2</c:v>
                  </c:pt>
                  <c:pt idx="2">
                    <c:v>3.0306008166431277E-2</c:v>
                  </c:pt>
                  <c:pt idx="3">
                    <c:v>4.6718472283110782E-2</c:v>
                  </c:pt>
                  <c:pt idx="4">
                    <c:v>2.7305017405530721E-2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MDA!$A$52:$A$56</c:f>
              <c:strCache>
                <c:ptCount val="5"/>
                <c:pt idx="0">
                  <c:v>6H</c:v>
                </c:pt>
                <c:pt idx="1">
                  <c:v>12H</c:v>
                </c:pt>
                <c:pt idx="2">
                  <c:v>24H</c:v>
                </c:pt>
                <c:pt idx="3">
                  <c:v>36H</c:v>
                </c:pt>
                <c:pt idx="4">
                  <c:v>48H</c:v>
                </c:pt>
              </c:strCache>
            </c:strRef>
          </c:cat>
          <c:val>
            <c:numRef>
              <c:f>MDA!$C$52:$C$56</c:f>
              <c:numCache>
                <c:formatCode>General</c:formatCode>
                <c:ptCount val="5"/>
                <c:pt idx="0">
                  <c:v>0.95730221320391629</c:v>
                </c:pt>
                <c:pt idx="1">
                  <c:v>1.1118995501160991</c:v>
                </c:pt>
                <c:pt idx="2">
                  <c:v>1.1808073746553718</c:v>
                </c:pt>
                <c:pt idx="3">
                  <c:v>1.0421360306136185</c:v>
                </c:pt>
                <c:pt idx="4">
                  <c:v>0.99696463321770046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0B-4604-9451-7C0B2BC41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584064"/>
        <c:axId val="1274584544"/>
      </c:lineChart>
      <c:catAx>
        <c:axId val="12745840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74584544"/>
        <c:crosses val="autoZero"/>
        <c:auto val="1"/>
        <c:lblAlgn val="ctr"/>
        <c:lblOffset val="100"/>
        <c:noMultiLvlLbl val="0"/>
      </c:catAx>
      <c:valAx>
        <c:axId val="1274584544"/>
        <c:scaling>
          <c:orientation val="minMax"/>
        </c:scaling>
        <c:delete val="0"/>
        <c:axPos val="l"/>
        <c:numFmt formatCode="#,##0.0_);[Red]\(#,##0.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7458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400">
                <a:solidFill>
                  <a:schemeClr val="tx1"/>
                </a:solidFill>
                <a:latin typeface="Arial" panose="020B0604020202020204" pitchFamily="34" charset="0"/>
                <a:ea typeface="Arial Unicode MS" panose="020B0604020202020204" pitchFamily="34" charset="-122"/>
                <a:cs typeface="Arial" panose="020B0604020202020204" pitchFamily="34" charset="0"/>
              </a:rPr>
              <a:t>R-GA</a:t>
            </a:r>
            <a:endParaRPr lang="zh-CN" altLang="en-US" sz="2400">
              <a:solidFill>
                <a:schemeClr val="tx1"/>
              </a:solidFill>
              <a:latin typeface="Arial" panose="020B0604020202020204" pitchFamily="34" charset="0"/>
              <a:ea typeface="Arial Unicode MS" panose="020B0604020202020204" pitchFamily="34" charset="-122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45517733540199934"/>
          <c:y val="2.6359485263594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GA!$B$52</c:f>
              <c:strCache>
                <c:ptCount val="1"/>
                <c:pt idx="0">
                  <c:v>G006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GA!$C$44:$C$48</c:f>
                <c:numCache>
                  <c:formatCode>General</c:formatCode>
                  <c:ptCount val="5"/>
                  <c:pt idx="0">
                    <c:v>8.4333698591764848E-3</c:v>
                  </c:pt>
                  <c:pt idx="1">
                    <c:v>5.1745043087269502E-3</c:v>
                  </c:pt>
                  <c:pt idx="2">
                    <c:v>5.9942716224549372E-3</c:v>
                  </c:pt>
                  <c:pt idx="3">
                    <c:v>7.7945701318962385E-3</c:v>
                  </c:pt>
                  <c:pt idx="4">
                    <c:v>7.3293526517993939E-3</c:v>
                  </c:pt>
                </c:numCache>
              </c:numRef>
            </c:plus>
            <c:minus>
              <c:numRef>
                <c:f>GA!$C$44:$C$48</c:f>
                <c:numCache>
                  <c:formatCode>General</c:formatCode>
                  <c:ptCount val="5"/>
                  <c:pt idx="0">
                    <c:v>8.4333698591764848E-3</c:v>
                  </c:pt>
                  <c:pt idx="1">
                    <c:v>5.1745043087269502E-3</c:v>
                  </c:pt>
                  <c:pt idx="2">
                    <c:v>5.9942716224549372E-3</c:v>
                  </c:pt>
                  <c:pt idx="3">
                    <c:v>7.7945701318962385E-3</c:v>
                  </c:pt>
                  <c:pt idx="4">
                    <c:v>7.3293526517993939E-3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GA!$A$53:$A$57</c:f>
              <c:strCache>
                <c:ptCount val="5"/>
                <c:pt idx="0">
                  <c:v>6H</c:v>
                </c:pt>
                <c:pt idx="1">
                  <c:v>12H</c:v>
                </c:pt>
                <c:pt idx="2">
                  <c:v>24H</c:v>
                </c:pt>
                <c:pt idx="3">
                  <c:v>36H</c:v>
                </c:pt>
                <c:pt idx="4">
                  <c:v>48H</c:v>
                </c:pt>
              </c:strCache>
            </c:strRef>
          </c:cat>
          <c:val>
            <c:numRef>
              <c:f>GA!$B$53:$B$57</c:f>
              <c:numCache>
                <c:formatCode>General</c:formatCode>
                <c:ptCount val="5"/>
                <c:pt idx="0">
                  <c:v>0.62788272921213495</c:v>
                </c:pt>
                <c:pt idx="1">
                  <c:v>0.6606121614997772</c:v>
                </c:pt>
                <c:pt idx="2">
                  <c:v>0.61311565349491448</c:v>
                </c:pt>
                <c:pt idx="3">
                  <c:v>0.62849096630211998</c:v>
                </c:pt>
                <c:pt idx="4">
                  <c:v>0.63475413105614154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3-4B38-B7F0-C11A93495A47}"/>
            </c:ext>
          </c:extLst>
        </c:ser>
        <c:ser>
          <c:idx val="1"/>
          <c:order val="1"/>
          <c:tx>
            <c:strRef>
              <c:f>GA!$C$52</c:f>
              <c:strCache>
                <c:ptCount val="1"/>
                <c:pt idx="0">
                  <c:v>G065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GA!$L$44:$L$48</c:f>
                <c:numCache>
                  <c:formatCode>General</c:formatCode>
                  <c:ptCount val="5"/>
                  <c:pt idx="0">
                    <c:v>4.6118873019244328E-3</c:v>
                  </c:pt>
                  <c:pt idx="1">
                    <c:v>7.884460488524956E-3</c:v>
                  </c:pt>
                  <c:pt idx="2">
                    <c:v>5.3987848340021705E-3</c:v>
                  </c:pt>
                  <c:pt idx="3">
                    <c:v>1.5108495770791404E-2</c:v>
                  </c:pt>
                  <c:pt idx="4">
                    <c:v>6.9702952100849395E-3</c:v>
                  </c:pt>
                </c:numCache>
              </c:numRef>
            </c:plus>
            <c:minus>
              <c:numRef>
                <c:f>GA!$L$44:$L$48</c:f>
                <c:numCache>
                  <c:formatCode>General</c:formatCode>
                  <c:ptCount val="5"/>
                  <c:pt idx="0">
                    <c:v>4.6118873019244328E-3</c:v>
                  </c:pt>
                  <c:pt idx="1">
                    <c:v>7.884460488524956E-3</c:v>
                  </c:pt>
                  <c:pt idx="2">
                    <c:v>5.3987848340021705E-3</c:v>
                  </c:pt>
                  <c:pt idx="3">
                    <c:v>1.5108495770791404E-2</c:v>
                  </c:pt>
                  <c:pt idx="4">
                    <c:v>6.9702952100849395E-3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GA!$A$53:$A$57</c:f>
              <c:strCache>
                <c:ptCount val="5"/>
                <c:pt idx="0">
                  <c:v>6H</c:v>
                </c:pt>
                <c:pt idx="1">
                  <c:v>12H</c:v>
                </c:pt>
                <c:pt idx="2">
                  <c:v>24H</c:v>
                </c:pt>
                <c:pt idx="3">
                  <c:v>36H</c:v>
                </c:pt>
                <c:pt idx="4">
                  <c:v>48H</c:v>
                </c:pt>
              </c:strCache>
            </c:strRef>
          </c:cat>
          <c:val>
            <c:numRef>
              <c:f>GA!$C$53:$C$57</c:f>
              <c:numCache>
                <c:formatCode>General</c:formatCode>
                <c:ptCount val="5"/>
                <c:pt idx="0">
                  <c:v>0.64143463683831747</c:v>
                </c:pt>
                <c:pt idx="1">
                  <c:v>0.67324802200140121</c:v>
                </c:pt>
                <c:pt idx="2">
                  <c:v>0.62600675459044075</c:v>
                </c:pt>
                <c:pt idx="3">
                  <c:v>0.64948750338234551</c:v>
                </c:pt>
                <c:pt idx="4">
                  <c:v>0.66260615390906308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B3-4B38-B7F0-C11A93495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584064"/>
        <c:axId val="1274584544"/>
      </c:lineChart>
      <c:catAx>
        <c:axId val="12745840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74584544"/>
        <c:crosses val="autoZero"/>
        <c:auto val="1"/>
        <c:lblAlgn val="ctr"/>
        <c:lblOffset val="100"/>
        <c:noMultiLvlLbl val="0"/>
      </c:catAx>
      <c:valAx>
        <c:axId val="1274584544"/>
        <c:scaling>
          <c:orientation val="minMax"/>
          <c:max val="0.70000000000000007"/>
          <c:min val="0.5"/>
        </c:scaling>
        <c:delete val="0"/>
        <c:axPos val="l"/>
        <c:numFmt formatCode="#,##0.0_);[Red]\(#,##0.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74584064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Arial Unicode MS" panose="020B0604020202020204" pitchFamily="34" charset="-122"/>
                <a:cs typeface="Arial" panose="020B0604020202020204" pitchFamily="34" charset="0"/>
              </a:rPr>
              <a:t>R-Proline</a:t>
            </a:r>
            <a:endParaRPr lang="zh-CN" altLang="en-US" sz="2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Arial Unicode MS" panose="020B0604020202020204" pitchFamily="34" charset="-122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40138042148838082"/>
          <c:y val="2.6359485263594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RPO!$B$52</c:f>
              <c:strCache>
                <c:ptCount val="1"/>
                <c:pt idx="0">
                  <c:v>G006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RPO!$C$45:$C$49</c:f>
                <c:numCache>
                  <c:formatCode>General</c:formatCode>
                  <c:ptCount val="5"/>
                  <c:pt idx="0">
                    <c:v>8.3547320483333229E-2</c:v>
                  </c:pt>
                  <c:pt idx="1">
                    <c:v>5.4346685433891401E-2</c:v>
                  </c:pt>
                  <c:pt idx="2">
                    <c:v>3.8566699816516642E-2</c:v>
                  </c:pt>
                  <c:pt idx="3">
                    <c:v>5.1546324822031288E-2</c:v>
                  </c:pt>
                  <c:pt idx="4">
                    <c:v>5.9064984074557902E-2</c:v>
                  </c:pt>
                </c:numCache>
              </c:numRef>
            </c:plus>
            <c:minus>
              <c:numRef>
                <c:f>RPO!$C$45:$C$49</c:f>
                <c:numCache>
                  <c:formatCode>General</c:formatCode>
                  <c:ptCount val="5"/>
                  <c:pt idx="0">
                    <c:v>8.3547320483333229E-2</c:v>
                  </c:pt>
                  <c:pt idx="1">
                    <c:v>5.4346685433891401E-2</c:v>
                  </c:pt>
                  <c:pt idx="2">
                    <c:v>3.8566699816516642E-2</c:v>
                  </c:pt>
                  <c:pt idx="3">
                    <c:v>5.1546324822031288E-2</c:v>
                  </c:pt>
                  <c:pt idx="4">
                    <c:v>5.9064984074557902E-2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RPO!$A$53:$A$57</c:f>
              <c:strCache>
                <c:ptCount val="5"/>
                <c:pt idx="0">
                  <c:v>6H</c:v>
                </c:pt>
                <c:pt idx="1">
                  <c:v>12H</c:v>
                </c:pt>
                <c:pt idx="2">
                  <c:v>24H</c:v>
                </c:pt>
                <c:pt idx="3">
                  <c:v>36H</c:v>
                </c:pt>
                <c:pt idx="4">
                  <c:v>48H</c:v>
                </c:pt>
              </c:strCache>
            </c:strRef>
          </c:cat>
          <c:val>
            <c:numRef>
              <c:f>RPO!$B$53:$B$57</c:f>
              <c:numCache>
                <c:formatCode>General</c:formatCode>
                <c:ptCount val="5"/>
                <c:pt idx="0">
                  <c:v>1.6234875444839858</c:v>
                </c:pt>
                <c:pt idx="1">
                  <c:v>0.99298847726382733</c:v>
                </c:pt>
                <c:pt idx="2">
                  <c:v>1.2316958812873948</c:v>
                </c:pt>
                <c:pt idx="3">
                  <c:v>1.0992622755064838</c:v>
                </c:pt>
                <c:pt idx="4">
                  <c:v>1.2056404230317275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F-4489-A7BF-448B5C000AAD}"/>
            </c:ext>
          </c:extLst>
        </c:ser>
        <c:ser>
          <c:idx val="1"/>
          <c:order val="1"/>
          <c:tx>
            <c:strRef>
              <c:f>RPO!$C$52</c:f>
              <c:strCache>
                <c:ptCount val="1"/>
                <c:pt idx="0">
                  <c:v>G065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RPO!$L$45:$L$49</c:f>
                <c:numCache>
                  <c:formatCode>General</c:formatCode>
                  <c:ptCount val="5"/>
                  <c:pt idx="0">
                    <c:v>6.1069508412556477E-2</c:v>
                  </c:pt>
                  <c:pt idx="1">
                    <c:v>9.300133479986189E-2</c:v>
                  </c:pt>
                  <c:pt idx="2">
                    <c:v>6.884307342417062E-2</c:v>
                  </c:pt>
                  <c:pt idx="3">
                    <c:v>7.9299504965754844E-2</c:v>
                  </c:pt>
                  <c:pt idx="4">
                    <c:v>4.3375592381868729E-2</c:v>
                  </c:pt>
                </c:numCache>
              </c:numRef>
            </c:plus>
            <c:minus>
              <c:numRef>
                <c:f>RPO!$L$45:$L$49</c:f>
                <c:numCache>
                  <c:formatCode>General</c:formatCode>
                  <c:ptCount val="5"/>
                  <c:pt idx="0">
                    <c:v>6.1069508412556477E-2</c:v>
                  </c:pt>
                  <c:pt idx="1">
                    <c:v>9.300133479986189E-2</c:v>
                  </c:pt>
                  <c:pt idx="2">
                    <c:v>6.884307342417062E-2</c:v>
                  </c:pt>
                  <c:pt idx="3">
                    <c:v>7.9299504965754844E-2</c:v>
                  </c:pt>
                  <c:pt idx="4">
                    <c:v>4.3375592381868729E-2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RPO!$A$53:$A$57</c:f>
              <c:strCache>
                <c:ptCount val="5"/>
                <c:pt idx="0">
                  <c:v>6H</c:v>
                </c:pt>
                <c:pt idx="1">
                  <c:v>12H</c:v>
                </c:pt>
                <c:pt idx="2">
                  <c:v>24H</c:v>
                </c:pt>
                <c:pt idx="3">
                  <c:v>36H</c:v>
                </c:pt>
                <c:pt idx="4">
                  <c:v>48H</c:v>
                </c:pt>
              </c:strCache>
            </c:strRef>
          </c:cat>
          <c:val>
            <c:numRef>
              <c:f>RPO!$C$53:$C$57</c:f>
              <c:numCache>
                <c:formatCode>General</c:formatCode>
                <c:ptCount val="5"/>
                <c:pt idx="0">
                  <c:v>1.0561569688768606</c:v>
                </c:pt>
                <c:pt idx="1">
                  <c:v>1.017775229357798</c:v>
                </c:pt>
                <c:pt idx="2">
                  <c:v>1.0404339250493098</c:v>
                </c:pt>
                <c:pt idx="3">
                  <c:v>1.1859030837004405</c:v>
                </c:pt>
                <c:pt idx="4">
                  <c:v>0.98990669353829652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4F-4489-A7BF-448B5C000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584064"/>
        <c:axId val="1274584544"/>
      </c:lineChart>
      <c:catAx>
        <c:axId val="12745840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74584544"/>
        <c:crosses val="autoZero"/>
        <c:auto val="1"/>
        <c:lblAlgn val="ctr"/>
        <c:lblOffset val="100"/>
        <c:noMultiLvlLbl val="0"/>
      </c:catAx>
      <c:valAx>
        <c:axId val="1274584544"/>
        <c:scaling>
          <c:orientation val="minMax"/>
        </c:scaling>
        <c:delete val="0"/>
        <c:axPos val="l"/>
        <c:numFmt formatCode="#,##0.0_);[Red]\(#,##0.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7458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Arial Unicode MS" panose="020B0604020202020204" pitchFamily="34" charset="-122"/>
                <a:cs typeface="Arial" panose="020B0604020202020204" pitchFamily="34" charset="0"/>
              </a:rPr>
              <a:t>R-</a:t>
            </a:r>
            <a:r>
              <a:rPr lang="el-GR" altLang="zh-CN" sz="2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Arial Unicode MS" panose="020B0604020202020204" pitchFamily="34" charset="-122"/>
                <a:cs typeface="Arial" panose="020B0604020202020204" pitchFamily="34" charset="0"/>
              </a:rPr>
              <a:t>α-</a:t>
            </a:r>
            <a:r>
              <a:rPr lang="en-US" altLang="zh-CN" sz="2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Arial Unicode MS" panose="020B0604020202020204" pitchFamily="34" charset="-122"/>
                <a:cs typeface="Arial" panose="020B0604020202020204" pitchFamily="34" charset="0"/>
              </a:rPr>
              <a:t>amylase</a:t>
            </a:r>
          </a:p>
        </c:rich>
      </c:tx>
      <c:layout>
        <c:manualLayout>
          <c:xMode val="edge"/>
          <c:yMode val="edge"/>
          <c:x val="0.31987994584575075"/>
          <c:y val="2.3298220896486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'α-AL'!$B$53</c:f>
              <c:strCache>
                <c:ptCount val="1"/>
                <c:pt idx="0">
                  <c:v>G006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'α-AL'!$C$46:$C$50</c:f>
                <c:numCache>
                  <c:formatCode>General</c:formatCode>
                  <c:ptCount val="5"/>
                  <c:pt idx="0">
                    <c:v>4.6908617383706559E-2</c:v>
                  </c:pt>
                  <c:pt idx="1">
                    <c:v>4.2788197579796149E-2</c:v>
                  </c:pt>
                  <c:pt idx="2">
                    <c:v>9.0885447748170704E-3</c:v>
                  </c:pt>
                  <c:pt idx="3">
                    <c:v>2.7773570592783417E-2</c:v>
                  </c:pt>
                  <c:pt idx="4">
                    <c:v>1.2943163492511019E-2</c:v>
                  </c:pt>
                </c:numCache>
              </c:numRef>
            </c:plus>
            <c:minus>
              <c:numRef>
                <c:f>'α-AL'!$C$46:$C$50</c:f>
                <c:numCache>
                  <c:formatCode>General</c:formatCode>
                  <c:ptCount val="5"/>
                  <c:pt idx="0">
                    <c:v>4.6908617383706559E-2</c:v>
                  </c:pt>
                  <c:pt idx="1">
                    <c:v>4.2788197579796149E-2</c:v>
                  </c:pt>
                  <c:pt idx="2">
                    <c:v>9.0885447748170704E-3</c:v>
                  </c:pt>
                  <c:pt idx="3">
                    <c:v>2.7773570592783417E-2</c:v>
                  </c:pt>
                  <c:pt idx="4">
                    <c:v>1.2943163492511019E-2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'α-AL'!$A$54:$A$58</c:f>
              <c:strCache>
                <c:ptCount val="5"/>
                <c:pt idx="0">
                  <c:v>6H</c:v>
                </c:pt>
                <c:pt idx="1">
                  <c:v>12H</c:v>
                </c:pt>
                <c:pt idx="2">
                  <c:v>24H</c:v>
                </c:pt>
                <c:pt idx="3">
                  <c:v>36H</c:v>
                </c:pt>
                <c:pt idx="4">
                  <c:v>48H</c:v>
                </c:pt>
              </c:strCache>
            </c:strRef>
          </c:cat>
          <c:val>
            <c:numRef>
              <c:f>'α-AL'!$B$54:$B$58</c:f>
              <c:numCache>
                <c:formatCode>General</c:formatCode>
                <c:ptCount val="5"/>
                <c:pt idx="0">
                  <c:v>1.0358134215668864</c:v>
                </c:pt>
                <c:pt idx="1">
                  <c:v>0.8703932409192161</c:v>
                </c:pt>
                <c:pt idx="2">
                  <c:v>0.91324505550233848</c:v>
                </c:pt>
                <c:pt idx="3">
                  <c:v>0.8422533404204634</c:v>
                </c:pt>
                <c:pt idx="4">
                  <c:v>0.75954018534663681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75-42FC-A068-8E19C42A695D}"/>
            </c:ext>
          </c:extLst>
        </c:ser>
        <c:ser>
          <c:idx val="1"/>
          <c:order val="1"/>
          <c:tx>
            <c:strRef>
              <c:f>'α-AL'!$C$53</c:f>
              <c:strCache>
                <c:ptCount val="1"/>
                <c:pt idx="0">
                  <c:v>G065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'α-AL'!$L$46:$L$50</c:f>
                <c:numCache>
                  <c:formatCode>General</c:formatCode>
                  <c:ptCount val="5"/>
                  <c:pt idx="0">
                    <c:v>2.1024912657698624E-2</c:v>
                  </c:pt>
                  <c:pt idx="1">
                    <c:v>2.5943611048329936E-2</c:v>
                  </c:pt>
                  <c:pt idx="2">
                    <c:v>3.0674139439156759E-2</c:v>
                  </c:pt>
                  <c:pt idx="3">
                    <c:v>1.2825583397013444E-2</c:v>
                  </c:pt>
                  <c:pt idx="4">
                    <c:v>3.8104948257040833E-2</c:v>
                  </c:pt>
                </c:numCache>
              </c:numRef>
            </c:plus>
            <c:minus>
              <c:numRef>
                <c:f>'α-AL'!$L$46:$L$50</c:f>
                <c:numCache>
                  <c:formatCode>General</c:formatCode>
                  <c:ptCount val="5"/>
                  <c:pt idx="0">
                    <c:v>2.1024912657698624E-2</c:v>
                  </c:pt>
                  <c:pt idx="1">
                    <c:v>2.5943611048329936E-2</c:v>
                  </c:pt>
                  <c:pt idx="2">
                    <c:v>3.0674139439156759E-2</c:v>
                  </c:pt>
                  <c:pt idx="3">
                    <c:v>1.2825583397013444E-2</c:v>
                  </c:pt>
                  <c:pt idx="4">
                    <c:v>3.8104948257040833E-2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'α-AL'!$A$54:$A$58</c:f>
              <c:strCache>
                <c:ptCount val="5"/>
                <c:pt idx="0">
                  <c:v>6H</c:v>
                </c:pt>
                <c:pt idx="1">
                  <c:v>12H</c:v>
                </c:pt>
                <c:pt idx="2">
                  <c:v>24H</c:v>
                </c:pt>
                <c:pt idx="3">
                  <c:v>36H</c:v>
                </c:pt>
                <c:pt idx="4">
                  <c:v>48H</c:v>
                </c:pt>
              </c:strCache>
            </c:strRef>
          </c:cat>
          <c:val>
            <c:numRef>
              <c:f>'α-AL'!$C$54:$C$58</c:f>
              <c:numCache>
                <c:formatCode>General</c:formatCode>
                <c:ptCount val="5"/>
                <c:pt idx="0">
                  <c:v>0.98459869603046279</c:v>
                </c:pt>
                <c:pt idx="1">
                  <c:v>0.89881463786735205</c:v>
                </c:pt>
                <c:pt idx="2">
                  <c:v>0.87524111721611797</c:v>
                </c:pt>
                <c:pt idx="3">
                  <c:v>0.8478494565511272</c:v>
                </c:pt>
                <c:pt idx="4">
                  <c:v>0.82863150516909023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75-42FC-A068-8E19C42A6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584064"/>
        <c:axId val="1274584544"/>
      </c:lineChart>
      <c:catAx>
        <c:axId val="12745840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74584544"/>
        <c:crosses val="autoZero"/>
        <c:auto val="1"/>
        <c:lblAlgn val="ctr"/>
        <c:lblOffset val="100"/>
        <c:noMultiLvlLbl val="0"/>
      </c:catAx>
      <c:valAx>
        <c:axId val="1274584544"/>
        <c:scaling>
          <c:orientation val="minMax"/>
          <c:max val="1.2"/>
          <c:min val="0.60000000000000009"/>
        </c:scaling>
        <c:delete val="0"/>
        <c:axPos val="l"/>
        <c:numFmt formatCode="#,##0.0_);[Red]\(#,##0.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745840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Arial Unicode MS" panose="020B0604020202020204" pitchFamily="34" charset="-122"/>
                <a:cs typeface="Arial" panose="020B0604020202020204" pitchFamily="34" charset="0"/>
              </a:rPr>
              <a:t>R-WU</a:t>
            </a:r>
            <a:endParaRPr lang="zh-CN" altLang="en-US" sz="2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Arial Unicode MS" panose="020B0604020202020204" pitchFamily="34" charset="-122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4681872706745695"/>
          <c:y val="2.1966237719662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WU!$B$53</c:f>
              <c:strCache>
                <c:ptCount val="1"/>
                <c:pt idx="0">
                  <c:v>G006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WU!$C$46:$C$50</c:f>
                <c:numCache>
                  <c:formatCode>General</c:formatCode>
                  <c:ptCount val="5"/>
                  <c:pt idx="0">
                    <c:v>4.1239423280431068E-3</c:v>
                  </c:pt>
                  <c:pt idx="1">
                    <c:v>3.9481184495642153E-3</c:v>
                  </c:pt>
                  <c:pt idx="2">
                    <c:v>3.9407808097249447E-3</c:v>
                  </c:pt>
                  <c:pt idx="3">
                    <c:v>3.7722212636432232E-3</c:v>
                  </c:pt>
                  <c:pt idx="4">
                    <c:v>7.7510822116316346E-4</c:v>
                  </c:pt>
                </c:numCache>
              </c:numRef>
            </c:plus>
            <c:minus>
              <c:numRef>
                <c:f>WU!$C$46:$C$50</c:f>
                <c:numCache>
                  <c:formatCode>General</c:formatCode>
                  <c:ptCount val="5"/>
                  <c:pt idx="0">
                    <c:v>4.1239423280431068E-3</c:v>
                  </c:pt>
                  <c:pt idx="1">
                    <c:v>3.9481184495642153E-3</c:v>
                  </c:pt>
                  <c:pt idx="2">
                    <c:v>3.9407808097249447E-3</c:v>
                  </c:pt>
                  <c:pt idx="3">
                    <c:v>3.7722212636432232E-3</c:v>
                  </c:pt>
                  <c:pt idx="4">
                    <c:v>7.7510822116316346E-4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WU!$A$54:$A$58</c:f>
              <c:strCache>
                <c:ptCount val="5"/>
                <c:pt idx="0">
                  <c:v>6H</c:v>
                </c:pt>
                <c:pt idx="1">
                  <c:v>12H</c:v>
                </c:pt>
                <c:pt idx="2">
                  <c:v>24H</c:v>
                </c:pt>
                <c:pt idx="3">
                  <c:v>36H</c:v>
                </c:pt>
                <c:pt idx="4">
                  <c:v>48H</c:v>
                </c:pt>
              </c:strCache>
            </c:strRef>
          </c:cat>
          <c:val>
            <c:numRef>
              <c:f>WU!$B$54:$B$58</c:f>
              <c:numCache>
                <c:formatCode>General</c:formatCode>
                <c:ptCount val="5"/>
                <c:pt idx="0">
                  <c:v>1.0058552328261872</c:v>
                </c:pt>
                <c:pt idx="1">
                  <c:v>0.99433459231281973</c:v>
                </c:pt>
                <c:pt idx="2">
                  <c:v>0.972346044153375</c:v>
                </c:pt>
                <c:pt idx="3">
                  <c:v>0.96344631497126021</c:v>
                </c:pt>
                <c:pt idx="4">
                  <c:v>0.92850072780203763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C-416C-AA3E-D5FA1A2F284C}"/>
            </c:ext>
          </c:extLst>
        </c:ser>
        <c:ser>
          <c:idx val="1"/>
          <c:order val="1"/>
          <c:tx>
            <c:strRef>
              <c:f>WU!$C$53</c:f>
              <c:strCache>
                <c:ptCount val="1"/>
                <c:pt idx="0">
                  <c:v>G065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WU!$L$46:$L$50</c:f>
                <c:numCache>
                  <c:formatCode>General</c:formatCode>
                  <c:ptCount val="5"/>
                  <c:pt idx="0">
                    <c:v>1.9028547284556116E-3</c:v>
                  </c:pt>
                  <c:pt idx="1">
                    <c:v>3.7744103689315851E-3</c:v>
                  </c:pt>
                  <c:pt idx="2">
                    <c:v>3.8637745098030227E-3</c:v>
                  </c:pt>
                  <c:pt idx="3">
                    <c:v>3.9918629856346127E-3</c:v>
                  </c:pt>
                  <c:pt idx="4">
                    <c:v>1.4764438756364093E-3</c:v>
                  </c:pt>
                </c:numCache>
              </c:numRef>
            </c:plus>
            <c:minus>
              <c:numRef>
                <c:f>WU!$L$46:$L$50</c:f>
                <c:numCache>
                  <c:formatCode>General</c:formatCode>
                  <c:ptCount val="5"/>
                  <c:pt idx="0">
                    <c:v>1.9028547284556116E-3</c:v>
                  </c:pt>
                  <c:pt idx="1">
                    <c:v>3.7744103689315851E-3</c:v>
                  </c:pt>
                  <c:pt idx="2">
                    <c:v>3.8637745098030227E-3</c:v>
                  </c:pt>
                  <c:pt idx="3">
                    <c:v>3.9918629856346127E-3</c:v>
                  </c:pt>
                  <c:pt idx="4">
                    <c:v>1.4764438756364093E-3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WU!$A$54:$A$58</c:f>
              <c:strCache>
                <c:ptCount val="5"/>
                <c:pt idx="0">
                  <c:v>6H</c:v>
                </c:pt>
                <c:pt idx="1">
                  <c:v>12H</c:v>
                </c:pt>
                <c:pt idx="2">
                  <c:v>24H</c:v>
                </c:pt>
                <c:pt idx="3">
                  <c:v>36H</c:v>
                </c:pt>
                <c:pt idx="4">
                  <c:v>48H</c:v>
                </c:pt>
              </c:strCache>
            </c:strRef>
          </c:cat>
          <c:val>
            <c:numRef>
              <c:f>WU!$C$54:$C$58</c:f>
              <c:numCache>
                <c:formatCode>General</c:formatCode>
                <c:ptCount val="5"/>
                <c:pt idx="0">
                  <c:v>1.0028613623776998</c:v>
                </c:pt>
                <c:pt idx="1">
                  <c:v>0.99556992867585203</c:v>
                </c:pt>
                <c:pt idx="2">
                  <c:v>0.98507368421052621</c:v>
                </c:pt>
                <c:pt idx="3">
                  <c:v>0.97984347613418632</c:v>
                </c:pt>
                <c:pt idx="4">
                  <c:v>0.95547106207004673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5C-416C-AA3E-D5FA1A2F2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584064"/>
        <c:axId val="1274584544"/>
      </c:lineChart>
      <c:catAx>
        <c:axId val="12745840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74584544"/>
        <c:crosses val="autoZero"/>
        <c:auto val="1"/>
        <c:lblAlgn val="ctr"/>
        <c:lblOffset val="100"/>
        <c:noMultiLvlLbl val="0"/>
      </c:catAx>
      <c:valAx>
        <c:axId val="1274584544"/>
        <c:scaling>
          <c:orientation val="minMax"/>
          <c:max val="1.02"/>
          <c:min val="0.9"/>
        </c:scaling>
        <c:delete val="0"/>
        <c:axPos val="l"/>
        <c:numFmt formatCode="#,##0.00_);[Red]\(#,##0.0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74584064"/>
        <c:crosses val="autoZero"/>
        <c:crossBetween val="between"/>
        <c:majorUnit val="4.0000000000000008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1093305</xdr:colOff>
      <xdr:row>49</xdr:row>
      <xdr:rowOff>165653</xdr:rowOff>
    </xdr:from>
    <xdr:to>
      <xdr:col>8</xdr:col>
      <xdr:colOff>324126</xdr:colOff>
      <xdr:row>65</xdr:row>
      <xdr:rowOff>64052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9117C80-D13E-49DA-8CB1-6F485466C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110434</xdr:colOff>
      <xdr:row>56</xdr:row>
      <xdr:rowOff>49696</xdr:rowOff>
    </xdr:from>
    <xdr:to>
      <xdr:col>6</xdr:col>
      <xdr:colOff>494770</xdr:colOff>
      <xdr:row>58</xdr:row>
      <xdr:rowOff>17173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C3E5F52F-D2D9-4012-AFD0-CBA24B2EBFB9}"/>
            </a:ext>
          </a:extLst>
        </xdr:cNvPr>
        <xdr:cNvSpPr txBox="1"/>
      </xdr:nvSpPr>
      <xdr:spPr>
        <a:xfrm>
          <a:off x="6322391" y="11004826"/>
          <a:ext cx="384336" cy="3871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000">
              <a:latin typeface="Arial" panose="020B0604020202020204" pitchFamily="34" charset="0"/>
              <a:cs typeface="Arial" panose="020B0604020202020204" pitchFamily="34" charset="0"/>
            </a:rPr>
            <a:t>**</a:t>
          </a:r>
          <a:endParaRPr lang="zh-CN" altLang="en-US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798443</xdr:colOff>
      <xdr:row>53</xdr:row>
      <xdr:rowOff>80617</xdr:rowOff>
    </xdr:from>
    <xdr:to>
      <xdr:col>7</xdr:col>
      <xdr:colOff>39779</xdr:colOff>
      <xdr:row>55</xdr:row>
      <xdr:rowOff>48095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D878A14A-839D-407C-A1E4-BBB55E2A84EE}"/>
            </a:ext>
          </a:extLst>
        </xdr:cNvPr>
        <xdr:cNvSpPr txBox="1"/>
      </xdr:nvSpPr>
      <xdr:spPr>
        <a:xfrm>
          <a:off x="7010400" y="10406269"/>
          <a:ext cx="384336" cy="3871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000">
              <a:latin typeface="Arial" panose="020B0604020202020204" pitchFamily="34" charset="0"/>
              <a:cs typeface="Arial" panose="020B0604020202020204" pitchFamily="34" charset="0"/>
            </a:rPr>
            <a:t>**</a:t>
          </a:r>
          <a:endParaRPr lang="zh-CN" altLang="en-US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332408</xdr:colOff>
      <xdr:row>53</xdr:row>
      <xdr:rowOff>6626</xdr:rowOff>
    </xdr:from>
    <xdr:to>
      <xdr:col>8</xdr:col>
      <xdr:colOff>32049</xdr:colOff>
      <xdr:row>54</xdr:row>
      <xdr:rowOff>183930</xdr:rowOff>
    </xdr:to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6CCEE7AC-9ADE-48A8-AB9B-4F8D3D96D2C2}"/>
            </a:ext>
          </a:extLst>
        </xdr:cNvPr>
        <xdr:cNvSpPr txBox="1"/>
      </xdr:nvSpPr>
      <xdr:spPr>
        <a:xfrm>
          <a:off x="7687365" y="10332278"/>
          <a:ext cx="384336" cy="3871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000">
              <a:latin typeface="Arial" panose="020B0604020202020204" pitchFamily="34" charset="0"/>
              <a:cs typeface="Arial" panose="020B0604020202020204" pitchFamily="34" charset="0"/>
            </a:rPr>
            <a:t>**</a:t>
          </a:r>
          <a:endParaRPr lang="zh-CN" altLang="en-US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16567</xdr:colOff>
      <xdr:row>49</xdr:row>
      <xdr:rowOff>176695</xdr:rowOff>
    </xdr:from>
    <xdr:to>
      <xdr:col>8</xdr:col>
      <xdr:colOff>695602</xdr:colOff>
      <xdr:row>66</xdr:row>
      <xdr:rowOff>63668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83F6193-194C-42B4-838C-E24FCF66B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259521</xdr:colOff>
      <xdr:row>52</xdr:row>
      <xdr:rowOff>127001</xdr:rowOff>
    </xdr:from>
    <xdr:to>
      <xdr:col>5</xdr:col>
      <xdr:colOff>644032</xdr:colOff>
      <xdr:row>54</xdr:row>
      <xdr:rowOff>158400</xdr:rowOff>
    </xdr:to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0BF9E88E-0FCF-44D1-901C-EE34FD926BDD}"/>
            </a:ext>
          </a:extLst>
        </xdr:cNvPr>
        <xdr:cNvSpPr txBox="1"/>
      </xdr:nvSpPr>
      <xdr:spPr>
        <a:xfrm>
          <a:off x="5599043" y="10342218"/>
          <a:ext cx="384511" cy="384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000">
              <a:latin typeface="Arial" panose="020B0604020202020204" pitchFamily="34" charset="0"/>
              <a:cs typeface="Arial" panose="020B0604020202020204" pitchFamily="34" charset="0"/>
            </a:rPr>
            <a:t>*</a:t>
          </a:r>
          <a:endParaRPr lang="zh-CN" altLang="en-US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207617</xdr:colOff>
      <xdr:row>52</xdr:row>
      <xdr:rowOff>64054</xdr:rowOff>
    </xdr:from>
    <xdr:to>
      <xdr:col>6</xdr:col>
      <xdr:colOff>592128</xdr:colOff>
      <xdr:row>54</xdr:row>
      <xdr:rowOff>95453</xdr:rowOff>
    </xdr:to>
    <xdr:sp macro="" textlink="">
      <xdr:nvSpPr>
        <xdr:cNvPr id="10" name="文本框 9">
          <a:extLst>
            <a:ext uri="{FF2B5EF4-FFF2-40B4-BE49-F238E27FC236}">
              <a16:creationId xmlns:a16="http://schemas.microsoft.com/office/drawing/2014/main" id="{79E4C3BF-0F78-4A31-B58B-B4AD8D93C02C}"/>
            </a:ext>
          </a:extLst>
        </xdr:cNvPr>
        <xdr:cNvSpPr txBox="1"/>
      </xdr:nvSpPr>
      <xdr:spPr>
        <a:xfrm>
          <a:off x="6209747" y="10279271"/>
          <a:ext cx="384511" cy="384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000">
              <a:latin typeface="Arial" panose="020B0604020202020204" pitchFamily="34" charset="0"/>
              <a:cs typeface="Arial" panose="020B0604020202020204" pitchFamily="34" charset="0"/>
            </a:rPr>
            <a:t>**</a:t>
          </a:r>
          <a:endParaRPr lang="zh-CN" altLang="en-US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1104</xdr:colOff>
      <xdr:row>52</xdr:row>
      <xdr:rowOff>17672</xdr:rowOff>
    </xdr:from>
    <xdr:to>
      <xdr:col>7</xdr:col>
      <xdr:colOff>385615</xdr:colOff>
      <xdr:row>54</xdr:row>
      <xdr:rowOff>49071</xdr:rowOff>
    </xdr:to>
    <xdr:sp macro="" textlink="">
      <xdr:nvSpPr>
        <xdr:cNvPr id="11" name="文本框 10">
          <a:extLst>
            <a:ext uri="{FF2B5EF4-FFF2-40B4-BE49-F238E27FC236}">
              <a16:creationId xmlns:a16="http://schemas.microsoft.com/office/drawing/2014/main" id="{BA9C2830-8AEF-4C3D-B397-D86B41DDFC76}"/>
            </a:ext>
          </a:extLst>
        </xdr:cNvPr>
        <xdr:cNvSpPr txBox="1"/>
      </xdr:nvSpPr>
      <xdr:spPr>
        <a:xfrm>
          <a:off x="6892234" y="10232889"/>
          <a:ext cx="384511" cy="384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000">
              <a:latin typeface="Arial" panose="020B0604020202020204" pitchFamily="34" charset="0"/>
              <a:cs typeface="Arial" panose="020B0604020202020204" pitchFamily="34" charset="0"/>
            </a:rPr>
            <a:t>**</a:t>
          </a:r>
          <a:endParaRPr lang="zh-CN" altLang="en-US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15461</xdr:colOff>
      <xdr:row>52</xdr:row>
      <xdr:rowOff>81724</xdr:rowOff>
    </xdr:from>
    <xdr:to>
      <xdr:col>8</xdr:col>
      <xdr:colOff>399972</xdr:colOff>
      <xdr:row>54</xdr:row>
      <xdr:rowOff>113123</xdr:rowOff>
    </xdr:to>
    <xdr:sp macro="" textlink="">
      <xdr:nvSpPr>
        <xdr:cNvPr id="12" name="文本框 11">
          <a:extLst>
            <a:ext uri="{FF2B5EF4-FFF2-40B4-BE49-F238E27FC236}">
              <a16:creationId xmlns:a16="http://schemas.microsoft.com/office/drawing/2014/main" id="{DD37741C-B1BA-4948-8CBC-1AB4ACC2C1B9}"/>
            </a:ext>
          </a:extLst>
        </xdr:cNvPr>
        <xdr:cNvSpPr txBox="1"/>
      </xdr:nvSpPr>
      <xdr:spPr>
        <a:xfrm>
          <a:off x="7569200" y="10296941"/>
          <a:ext cx="384511" cy="384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000">
              <a:latin typeface="Arial" panose="020B0604020202020204" pitchFamily="34" charset="0"/>
              <a:cs typeface="Arial" panose="020B0604020202020204" pitchFamily="34" charset="0"/>
            </a:rPr>
            <a:t>**</a:t>
          </a:r>
          <a:endParaRPr lang="zh-CN" altLang="en-US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51</xdr:row>
      <xdr:rowOff>0</xdr:rowOff>
    </xdr:from>
    <xdr:to>
      <xdr:col>9</xdr:col>
      <xdr:colOff>464505</xdr:colOff>
      <xdr:row>67</xdr:row>
      <xdr:rowOff>77261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83CA05C-BFAA-4A0B-932B-E586D2ABD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952500</xdr:colOff>
      <xdr:row>55</xdr:row>
      <xdr:rowOff>63500</xdr:rowOff>
    </xdr:from>
    <xdr:to>
      <xdr:col>7</xdr:col>
      <xdr:colOff>188952</xdr:colOff>
      <xdr:row>57</xdr:row>
      <xdr:rowOff>98938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9ECB57A3-C904-4F9F-8BF7-318F86529402}"/>
            </a:ext>
          </a:extLst>
        </xdr:cNvPr>
        <xdr:cNvSpPr txBox="1"/>
      </xdr:nvSpPr>
      <xdr:spPr>
        <a:xfrm>
          <a:off x="5856654" y="10389577"/>
          <a:ext cx="384336" cy="3871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000">
              <a:latin typeface="Arial" panose="020B0604020202020204" pitchFamily="34" charset="0"/>
              <a:cs typeface="Arial" panose="020B0604020202020204" pitchFamily="34" charset="0"/>
            </a:rPr>
            <a:t>*</a:t>
          </a:r>
          <a:endParaRPr lang="zh-CN" altLang="en-US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439615</xdr:colOff>
      <xdr:row>54</xdr:row>
      <xdr:rowOff>39077</xdr:rowOff>
    </xdr:from>
    <xdr:to>
      <xdr:col>8</xdr:col>
      <xdr:colOff>164527</xdr:colOff>
      <xdr:row>56</xdr:row>
      <xdr:rowOff>6554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4AD969B3-4FDF-4501-B43B-7DE79621E727}"/>
            </a:ext>
          </a:extLst>
        </xdr:cNvPr>
        <xdr:cNvSpPr txBox="1"/>
      </xdr:nvSpPr>
      <xdr:spPr>
        <a:xfrm>
          <a:off x="6491653" y="10189308"/>
          <a:ext cx="384336" cy="3191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000">
              <a:latin typeface="Arial" panose="020B0604020202020204" pitchFamily="34" charset="0"/>
              <a:cs typeface="Arial" panose="020B0604020202020204" pitchFamily="34" charset="0"/>
            </a:rPr>
            <a:t>**</a:t>
          </a:r>
          <a:endParaRPr lang="zh-CN" altLang="en-US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440591</xdr:colOff>
      <xdr:row>53</xdr:row>
      <xdr:rowOff>157285</xdr:rowOff>
    </xdr:from>
    <xdr:to>
      <xdr:col>9</xdr:col>
      <xdr:colOff>165504</xdr:colOff>
      <xdr:row>55</xdr:row>
      <xdr:rowOff>124762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FB7C9F43-BA37-43BB-9AFB-287F100E8616}"/>
            </a:ext>
          </a:extLst>
        </xdr:cNvPr>
        <xdr:cNvSpPr txBox="1"/>
      </xdr:nvSpPr>
      <xdr:spPr>
        <a:xfrm>
          <a:off x="7152053" y="10131670"/>
          <a:ext cx="384336" cy="3191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000">
              <a:latin typeface="Arial" panose="020B0604020202020204" pitchFamily="34" charset="0"/>
              <a:cs typeface="Arial" panose="020B0604020202020204" pitchFamily="34" charset="0"/>
            </a:rPr>
            <a:t>**</a:t>
          </a:r>
          <a:endParaRPr lang="zh-CN" altLang="en-US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50</xdr:row>
      <xdr:rowOff>177799</xdr:rowOff>
    </xdr:from>
    <xdr:to>
      <xdr:col>9</xdr:col>
      <xdr:colOff>606700</xdr:colOff>
      <xdr:row>67</xdr:row>
      <xdr:rowOff>45999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4D9FEA1-D581-4303-9EAE-A7186F1FF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933450</xdr:colOff>
      <xdr:row>53</xdr:row>
      <xdr:rowOff>171450</xdr:rowOff>
    </xdr:from>
    <xdr:to>
      <xdr:col>6</xdr:col>
      <xdr:colOff>270211</xdr:colOff>
      <xdr:row>56</xdr:row>
      <xdr:rowOff>22841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FEB21563-A0A2-42CD-880A-D8497CF69698}"/>
            </a:ext>
          </a:extLst>
        </xdr:cNvPr>
        <xdr:cNvSpPr txBox="1"/>
      </xdr:nvSpPr>
      <xdr:spPr>
        <a:xfrm>
          <a:off x="5962650" y="10547350"/>
          <a:ext cx="384511" cy="384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000">
              <a:latin typeface="Arial" panose="020B0604020202020204" pitchFamily="34" charset="0"/>
              <a:cs typeface="Arial" panose="020B0604020202020204" pitchFamily="34" charset="0"/>
            </a:rPr>
            <a:t>**</a:t>
          </a:r>
          <a:endParaRPr lang="zh-CN" altLang="en-US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19050</xdr:colOff>
      <xdr:row>55</xdr:row>
      <xdr:rowOff>69850</xdr:rowOff>
    </xdr:from>
    <xdr:to>
      <xdr:col>7</xdr:col>
      <xdr:colOff>403561</xdr:colOff>
      <xdr:row>57</xdr:row>
      <xdr:rowOff>99041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DA81EBB5-9A69-44A5-8EEA-BD9814D0A03B}"/>
            </a:ext>
          </a:extLst>
        </xdr:cNvPr>
        <xdr:cNvSpPr txBox="1"/>
      </xdr:nvSpPr>
      <xdr:spPr>
        <a:xfrm>
          <a:off x="7251700" y="10801350"/>
          <a:ext cx="384511" cy="384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000">
              <a:latin typeface="Arial" panose="020B0604020202020204" pitchFamily="34" charset="0"/>
              <a:cs typeface="Arial" panose="020B0604020202020204" pitchFamily="34" charset="0"/>
            </a:rPr>
            <a:t>**</a:t>
          </a:r>
          <a:endParaRPr lang="zh-CN" altLang="en-US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711200</xdr:colOff>
      <xdr:row>55</xdr:row>
      <xdr:rowOff>57150</xdr:rowOff>
    </xdr:from>
    <xdr:to>
      <xdr:col>9</xdr:col>
      <xdr:colOff>314661</xdr:colOff>
      <xdr:row>57</xdr:row>
      <xdr:rowOff>86341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B8300046-6DE8-4CF4-B14B-2A60613A6811}"/>
            </a:ext>
          </a:extLst>
        </xdr:cNvPr>
        <xdr:cNvSpPr txBox="1"/>
      </xdr:nvSpPr>
      <xdr:spPr>
        <a:xfrm>
          <a:off x="8604250" y="10788650"/>
          <a:ext cx="384511" cy="384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000">
              <a:latin typeface="Arial" panose="020B0604020202020204" pitchFamily="34" charset="0"/>
              <a:cs typeface="Arial" panose="020B0604020202020204" pitchFamily="34" charset="0"/>
            </a:rPr>
            <a:t>**</a:t>
          </a:r>
          <a:endParaRPr lang="zh-CN" altLang="en-US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52</xdr:row>
      <xdr:rowOff>0</xdr:rowOff>
    </xdr:from>
    <xdr:to>
      <xdr:col>9</xdr:col>
      <xdr:colOff>979832</xdr:colOff>
      <xdr:row>65</xdr:row>
      <xdr:rowOff>166650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D06DB7E-A29A-4030-86B8-1A8B972E3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355600</xdr:colOff>
      <xdr:row>56</xdr:row>
      <xdr:rowOff>171450</xdr:rowOff>
    </xdr:from>
    <xdr:to>
      <xdr:col>9</xdr:col>
      <xdr:colOff>740111</xdr:colOff>
      <xdr:row>58</xdr:row>
      <xdr:rowOff>137141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13F8C430-5E1F-4DA9-804F-E300074C4237}"/>
            </a:ext>
          </a:extLst>
        </xdr:cNvPr>
        <xdr:cNvSpPr txBox="1"/>
      </xdr:nvSpPr>
      <xdr:spPr>
        <a:xfrm>
          <a:off x="8058150" y="11906250"/>
          <a:ext cx="384511" cy="384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000">
              <a:latin typeface="Arial" panose="020B0604020202020204" pitchFamily="34" charset="0"/>
              <a:cs typeface="Arial" panose="020B0604020202020204" pitchFamily="34" charset="0"/>
            </a:rPr>
            <a:t>*</a:t>
          </a:r>
          <a:endParaRPr lang="zh-CN" altLang="en-US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51</xdr:row>
      <xdr:rowOff>177799</xdr:rowOff>
    </xdr:from>
    <xdr:to>
      <xdr:col>9</xdr:col>
      <xdr:colOff>1127400</xdr:colOff>
      <xdr:row>68</xdr:row>
      <xdr:rowOff>45999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4A8D230-BE87-4E0A-AC0E-5DFEFF28C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55</xdr:row>
      <xdr:rowOff>127000</xdr:rowOff>
    </xdr:from>
    <xdr:to>
      <xdr:col>8</xdr:col>
      <xdr:colOff>219411</xdr:colOff>
      <xdr:row>57</xdr:row>
      <xdr:rowOff>156191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8C3A34E5-3284-4B98-98EB-B838F29E1652}"/>
            </a:ext>
          </a:extLst>
        </xdr:cNvPr>
        <xdr:cNvSpPr txBox="1"/>
      </xdr:nvSpPr>
      <xdr:spPr>
        <a:xfrm>
          <a:off x="6623050" y="10763250"/>
          <a:ext cx="384511" cy="384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000">
              <a:latin typeface="Arial" panose="020B0604020202020204" pitchFamily="34" charset="0"/>
              <a:cs typeface="Arial" panose="020B0604020202020204" pitchFamily="34" charset="0"/>
            </a:rPr>
            <a:t>**</a:t>
          </a:r>
          <a:endParaRPr lang="zh-CN" altLang="en-US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488950</xdr:colOff>
      <xdr:row>56</xdr:row>
      <xdr:rowOff>31750</xdr:rowOff>
    </xdr:from>
    <xdr:to>
      <xdr:col>9</xdr:col>
      <xdr:colOff>98761</xdr:colOff>
      <xdr:row>58</xdr:row>
      <xdr:rowOff>60941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D0B33E8B-EF8B-46BE-AEF0-DC4F71C85825}"/>
            </a:ext>
          </a:extLst>
        </xdr:cNvPr>
        <xdr:cNvSpPr txBox="1"/>
      </xdr:nvSpPr>
      <xdr:spPr>
        <a:xfrm>
          <a:off x="7277100" y="10845800"/>
          <a:ext cx="270211" cy="384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000">
              <a:latin typeface="Arial" panose="020B0604020202020204" pitchFamily="34" charset="0"/>
              <a:cs typeface="Arial" panose="020B0604020202020204" pitchFamily="34" charset="0"/>
            </a:rPr>
            <a:t>**</a:t>
          </a:r>
          <a:endParaRPr lang="zh-CN" altLang="en-US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476250</xdr:colOff>
      <xdr:row>57</xdr:row>
      <xdr:rowOff>88900</xdr:rowOff>
    </xdr:from>
    <xdr:to>
      <xdr:col>9</xdr:col>
      <xdr:colOff>746461</xdr:colOff>
      <xdr:row>59</xdr:row>
      <xdr:rowOff>118091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EAB3E6C1-199D-41C1-B021-7509C8E9B9E3}"/>
            </a:ext>
          </a:extLst>
        </xdr:cNvPr>
        <xdr:cNvSpPr txBox="1"/>
      </xdr:nvSpPr>
      <xdr:spPr>
        <a:xfrm>
          <a:off x="7924800" y="11080750"/>
          <a:ext cx="270211" cy="384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000">
              <a:latin typeface="Arial" panose="020B0604020202020204" pitchFamily="34" charset="0"/>
              <a:cs typeface="Arial" panose="020B0604020202020204" pitchFamily="34" charset="0"/>
            </a:rPr>
            <a:t>**</a:t>
          </a:r>
          <a:endParaRPr lang="zh-CN" altLang="en-US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23E4C-B87D-4A31-AEDD-5F4453C19B1D}">
  <dimension ref="A1:O58"/>
  <sheetViews>
    <sheetView topLeftCell="A43" zoomScale="115" zoomScaleNormal="115" workbookViewId="0">
      <selection activeCell="C68" sqref="C68"/>
    </sheetView>
  </sheetViews>
  <sheetFormatPr defaultRowHeight="14" x14ac:dyDescent="0.3"/>
  <cols>
    <col min="1" max="1" width="14.58203125" bestFit="1" customWidth="1"/>
    <col min="2" max="2" width="10.08203125" bestFit="1" customWidth="1"/>
    <col min="3" max="3" width="15" bestFit="1" customWidth="1"/>
    <col min="4" max="4" width="14.58203125" bestFit="1" customWidth="1"/>
    <col min="5" max="5" width="15" bestFit="1" customWidth="1"/>
    <col min="6" max="6" width="12.33203125" bestFit="1" customWidth="1"/>
    <col min="7" max="7" width="15" bestFit="1" customWidth="1"/>
    <col min="8" max="8" width="9" bestFit="1" customWidth="1"/>
    <col min="9" max="9" width="10.58203125" customWidth="1"/>
    <col min="10" max="10" width="14.9140625" bestFit="1" customWidth="1"/>
    <col min="11" max="11" width="14.6640625" bestFit="1" customWidth="1"/>
    <col min="12" max="12" width="12.33203125" bestFit="1" customWidth="1"/>
    <col min="13" max="13" width="15" bestFit="1" customWidth="1"/>
    <col min="14" max="14" width="9" bestFit="1" customWidth="1"/>
  </cols>
  <sheetData>
    <row r="1" spans="1:15" ht="16.5" x14ac:dyDescent="0.3">
      <c r="A1" s="1" t="s">
        <v>0</v>
      </c>
      <c r="B1" s="1">
        <v>87.287400000000005</v>
      </c>
      <c r="C1" s="3"/>
      <c r="D1" s="1" t="s">
        <v>6</v>
      </c>
      <c r="E1" s="1">
        <v>96.403899999999993</v>
      </c>
      <c r="F1" s="3"/>
      <c r="G1" s="1" t="s">
        <v>12</v>
      </c>
      <c r="H1" s="1">
        <v>99.5929662360045</v>
      </c>
      <c r="I1" s="3"/>
      <c r="J1" s="1" t="s">
        <v>18</v>
      </c>
      <c r="K1" s="1">
        <v>82.853086926993754</v>
      </c>
      <c r="L1" s="3"/>
      <c r="M1" s="1" t="s">
        <v>24</v>
      </c>
      <c r="N1" s="1">
        <v>77.13941024545332</v>
      </c>
      <c r="O1" s="3"/>
    </row>
    <row r="2" spans="1:15" ht="16.5" x14ac:dyDescent="0.3">
      <c r="A2" s="1" t="s">
        <v>0</v>
      </c>
      <c r="B2" s="1">
        <v>86.741</v>
      </c>
      <c r="C2" s="3"/>
      <c r="D2" s="1" t="s">
        <v>206</v>
      </c>
      <c r="E2" s="1">
        <v>92.768600000000006</v>
      </c>
      <c r="F2" s="3"/>
      <c r="G2" s="1" t="s">
        <v>12</v>
      </c>
      <c r="H2" s="1">
        <v>99.458638587988887</v>
      </c>
      <c r="I2" s="3"/>
      <c r="J2" s="1" t="s">
        <v>18</v>
      </c>
      <c r="K2" s="1">
        <v>81.544069613933928</v>
      </c>
      <c r="L2" s="3"/>
      <c r="M2" s="1" t="s">
        <v>24</v>
      </c>
      <c r="N2" s="1">
        <v>76.396756663573626</v>
      </c>
      <c r="O2" s="3"/>
    </row>
    <row r="3" spans="1:15" ht="16.5" x14ac:dyDescent="0.3">
      <c r="A3" s="1" t="s">
        <v>1</v>
      </c>
      <c r="B3" s="1">
        <v>87.545900000000003</v>
      </c>
      <c r="C3" s="4">
        <f>AVERAGE(B1:B4)</f>
        <v>87.074574999999996</v>
      </c>
      <c r="D3" s="1" t="s">
        <v>7</v>
      </c>
      <c r="E3" s="1">
        <v>92.5167</v>
      </c>
      <c r="F3" s="4">
        <f>AVERAGE(E1:E4)</f>
        <v>93.445700000000002</v>
      </c>
      <c r="G3" s="1" t="s">
        <v>13</v>
      </c>
      <c r="H3" s="1">
        <v>98.06994765178716</v>
      </c>
      <c r="I3" s="4">
        <f>AVERAGE(H1:H4)</f>
        <v>98.803788118945135</v>
      </c>
      <c r="J3" s="1" t="s">
        <v>19</v>
      </c>
      <c r="K3" s="1">
        <v>80.377821756556813</v>
      </c>
      <c r="L3" s="4">
        <f>AVERAGE(K1:K4)</f>
        <v>81.772919574371116</v>
      </c>
      <c r="M3" s="1" t="s">
        <v>25</v>
      </c>
      <c r="N3" s="1">
        <v>78.198422467879752</v>
      </c>
      <c r="O3" s="4">
        <f>AVERAGE(N1:N4)</f>
        <v>77.350497344226667</v>
      </c>
    </row>
    <row r="4" spans="1:15" ht="16.5" x14ac:dyDescent="0.3">
      <c r="A4" s="1" t="s">
        <v>2</v>
      </c>
      <c r="B4" s="1">
        <v>86.724000000000004</v>
      </c>
      <c r="C4" s="3"/>
      <c r="D4" s="1" t="s">
        <v>8</v>
      </c>
      <c r="E4" s="1">
        <v>92.093599999999995</v>
      </c>
      <c r="F4" s="3"/>
      <c r="G4" s="1" t="s">
        <v>14</v>
      </c>
      <c r="H4" s="1">
        <v>98.093599999999995</v>
      </c>
      <c r="I4" s="3"/>
      <c r="J4" s="1" t="s">
        <v>20</v>
      </c>
      <c r="K4" s="1">
        <v>82.316699999999997</v>
      </c>
      <c r="L4" s="3"/>
      <c r="M4" s="1" t="s">
        <v>26</v>
      </c>
      <c r="N4" s="1">
        <v>77.667400000000001</v>
      </c>
      <c r="O4" s="3"/>
    </row>
    <row r="5" spans="1:15" ht="16.5" x14ac:dyDescent="0.3">
      <c r="A5" s="2" t="s">
        <v>3</v>
      </c>
      <c r="B5" s="2">
        <v>114.47883850463705</v>
      </c>
      <c r="C5">
        <f>B5/C3</f>
        <v>1.3147217601077819</v>
      </c>
      <c r="D5" s="2" t="s">
        <v>9</v>
      </c>
      <c r="E5" s="2">
        <v>120.777774157141</v>
      </c>
      <c r="F5">
        <f>E5/F3</f>
        <v>1.2924915127944998</v>
      </c>
      <c r="G5" s="2" t="s">
        <v>15</v>
      </c>
      <c r="H5" s="2">
        <v>127.85422626481561</v>
      </c>
      <c r="I5">
        <f>H5/I3</f>
        <v>1.2940215015936236</v>
      </c>
      <c r="J5" s="2" t="s">
        <v>21</v>
      </c>
      <c r="K5" s="2">
        <v>116.87390000000001</v>
      </c>
      <c r="L5">
        <f>K5/L3</f>
        <v>1.4292494460064511</v>
      </c>
      <c r="M5" s="2" t="s">
        <v>27</v>
      </c>
      <c r="N5" s="2">
        <v>112.38064013691283</v>
      </c>
      <c r="O5">
        <f>N5/O3</f>
        <v>1.4528754693947779</v>
      </c>
    </row>
    <row r="6" spans="1:15" ht="16.5" x14ac:dyDescent="0.3">
      <c r="A6" s="2" t="s">
        <v>4</v>
      </c>
      <c r="B6" s="2">
        <v>118.72953851060376</v>
      </c>
      <c r="C6">
        <f>B6/C3</f>
        <v>1.3635385359113583</v>
      </c>
      <c r="D6" s="2" t="s">
        <v>10</v>
      </c>
      <c r="E6" s="2">
        <v>118.92158568493275</v>
      </c>
      <c r="F6">
        <f>E6/F3</f>
        <v>1.2726276937829428</v>
      </c>
      <c r="G6" s="2" t="s">
        <v>16</v>
      </c>
      <c r="H6" s="2">
        <v>125.91782975169542</v>
      </c>
      <c r="I6">
        <f>H6/I3</f>
        <v>1.2744230980305025</v>
      </c>
      <c r="J6" s="2" t="s">
        <v>22</v>
      </c>
      <c r="K6" s="2">
        <v>118.57</v>
      </c>
      <c r="L6">
        <f>K6/L3</f>
        <v>1.4499910314705413</v>
      </c>
      <c r="M6" s="2" t="s">
        <v>28</v>
      </c>
      <c r="N6" s="2">
        <v>110.16589953428397</v>
      </c>
      <c r="O6">
        <f>N6/O3</f>
        <v>1.4242429372369976</v>
      </c>
    </row>
    <row r="7" spans="1:15" ht="16.5" x14ac:dyDescent="0.3">
      <c r="A7" s="2" t="s">
        <v>5</v>
      </c>
      <c r="B7" s="2">
        <v>115.9525527777229</v>
      </c>
      <c r="C7">
        <f>B7/C3</f>
        <v>1.3316464970138862</v>
      </c>
      <c r="D7" s="2" t="s">
        <v>11</v>
      </c>
      <c r="E7" s="2">
        <v>121.27599782393727</v>
      </c>
      <c r="F7">
        <f>E7/F3</f>
        <v>1.2978232045341549</v>
      </c>
      <c r="G7" s="2" t="s">
        <v>17</v>
      </c>
      <c r="H7" s="2">
        <v>128.48812078199407</v>
      </c>
      <c r="I7">
        <f>H7/I3</f>
        <v>1.3004371920164983</v>
      </c>
      <c r="J7" s="2" t="s">
        <v>23</v>
      </c>
      <c r="K7" s="2">
        <v>117.2154</v>
      </c>
      <c r="L7">
        <f>K7/L3</f>
        <v>1.4334256451904537</v>
      </c>
      <c r="M7" s="2" t="s">
        <v>29</v>
      </c>
      <c r="N7" s="2">
        <v>112.66740709278662</v>
      </c>
      <c r="O7">
        <f>N7/O3</f>
        <v>1.4565828399446736</v>
      </c>
    </row>
    <row r="8" spans="1:15" ht="16.5" x14ac:dyDescent="0.3">
      <c r="A8" s="2" t="s">
        <v>3</v>
      </c>
      <c r="B8" s="2">
        <v>115.9526</v>
      </c>
      <c r="C8">
        <f>B8/C3</f>
        <v>1.3316470393338125</v>
      </c>
      <c r="D8" s="2" t="s">
        <v>9</v>
      </c>
      <c r="E8" s="2">
        <v>120.276</v>
      </c>
      <c r="F8">
        <f>E8/F3</f>
        <v>1.287121825830402</v>
      </c>
      <c r="G8" s="2" t="s">
        <v>15</v>
      </c>
      <c r="H8" s="2">
        <v>127.276</v>
      </c>
      <c r="I8">
        <f>H8/I3</f>
        <v>1.2881692334182424</v>
      </c>
      <c r="J8" s="2" t="s">
        <v>21</v>
      </c>
      <c r="K8" s="2">
        <v>118.2521</v>
      </c>
      <c r="L8">
        <f>K8/L3</f>
        <v>1.4461034363882737</v>
      </c>
      <c r="M8" s="2" t="s">
        <v>27</v>
      </c>
      <c r="N8" s="2">
        <v>112.5547</v>
      </c>
      <c r="O8">
        <f>N8/O3</f>
        <v>1.4551257440415271</v>
      </c>
    </row>
    <row r="10" spans="1:15" ht="16.5" x14ac:dyDescent="0.3">
      <c r="A10" s="1" t="s">
        <v>30</v>
      </c>
      <c r="B10" s="1">
        <v>92.749200000000002</v>
      </c>
      <c r="C10" s="3"/>
      <c r="D10" s="1" t="s">
        <v>36</v>
      </c>
      <c r="E10" s="1">
        <v>101.2107</v>
      </c>
      <c r="F10" s="3"/>
      <c r="G10" s="1" t="s">
        <v>42</v>
      </c>
      <c r="H10" s="1">
        <v>106.57822893015688</v>
      </c>
      <c r="I10" s="3"/>
      <c r="J10" s="1" t="s">
        <v>49</v>
      </c>
      <c r="K10" s="1">
        <v>89.094099999999997</v>
      </c>
      <c r="L10" s="3"/>
      <c r="M10" s="1" t="s">
        <v>54</v>
      </c>
      <c r="N10" s="1">
        <v>83.365300000000005</v>
      </c>
      <c r="O10" s="3"/>
    </row>
    <row r="11" spans="1:15" ht="16.5" x14ac:dyDescent="0.3">
      <c r="A11" s="1" t="s">
        <v>30</v>
      </c>
      <c r="B11" s="1">
        <v>91.674400000000006</v>
      </c>
      <c r="C11" s="3"/>
      <c r="D11" s="1" t="s">
        <v>36</v>
      </c>
      <c r="E11" s="1">
        <v>100.202</v>
      </c>
      <c r="F11" s="3"/>
      <c r="G11" s="1" t="s">
        <v>42</v>
      </c>
      <c r="H11" s="1">
        <v>105.10820238599939</v>
      </c>
      <c r="I11" s="3"/>
      <c r="J11" s="1" t="s">
        <v>48</v>
      </c>
      <c r="K11" s="1">
        <v>86.979200000000006</v>
      </c>
      <c r="L11" s="3"/>
      <c r="M11" s="1" t="s">
        <v>55</v>
      </c>
      <c r="N11" s="1">
        <v>83.085800000000006</v>
      </c>
      <c r="O11" s="3"/>
    </row>
    <row r="12" spans="1:15" ht="16.5" x14ac:dyDescent="0.3">
      <c r="A12" s="1" t="s">
        <v>31</v>
      </c>
      <c r="B12" s="1">
        <v>92.1511</v>
      </c>
      <c r="C12" s="4">
        <f>AVERAGE(B10:B13)</f>
        <v>91.813675000000003</v>
      </c>
      <c r="D12" s="1" t="s">
        <v>37</v>
      </c>
      <c r="E12" s="1">
        <v>99.772599999999997</v>
      </c>
      <c r="F12" s="4">
        <f>AVERAGE(E10:E13)</f>
        <v>100.489475</v>
      </c>
      <c r="G12" s="1" t="s">
        <v>43</v>
      </c>
      <c r="H12" s="1">
        <v>106.14308085681513</v>
      </c>
      <c r="I12" s="4">
        <f>AVERAGE(H10:H13)</f>
        <v>106.15052804324286</v>
      </c>
      <c r="J12" s="1" t="s">
        <v>49</v>
      </c>
      <c r="K12" s="1">
        <v>87.632400000000004</v>
      </c>
      <c r="L12" s="4">
        <f>AVERAGE(K10:K13)</f>
        <v>87.577800000000011</v>
      </c>
      <c r="M12" s="1" t="s">
        <v>54</v>
      </c>
      <c r="N12" s="1">
        <v>83.476500000000001</v>
      </c>
      <c r="O12" s="4">
        <f>AVERAGE(N10:N13)</f>
        <v>83.433799999999991</v>
      </c>
    </row>
    <row r="13" spans="1:15" ht="16.5" x14ac:dyDescent="0.3">
      <c r="A13" s="1" t="s">
        <v>32</v>
      </c>
      <c r="B13" s="1">
        <v>90.68</v>
      </c>
      <c r="C13" s="3"/>
      <c r="D13" s="1" t="s">
        <v>38</v>
      </c>
      <c r="E13" s="1">
        <v>100.7726</v>
      </c>
      <c r="F13" s="3"/>
      <c r="G13" s="1" t="s">
        <v>44</v>
      </c>
      <c r="H13" s="1">
        <v>106.7726</v>
      </c>
      <c r="I13" s="3"/>
      <c r="J13" s="1" t="s">
        <v>50</v>
      </c>
      <c r="K13" s="1">
        <v>86.605500000000006</v>
      </c>
      <c r="L13" s="3"/>
      <c r="M13" s="1" t="s">
        <v>56</v>
      </c>
      <c r="N13" s="1">
        <v>83.807599999999994</v>
      </c>
      <c r="O13" s="3"/>
    </row>
    <row r="14" spans="1:15" ht="16.5" x14ac:dyDescent="0.3">
      <c r="A14" s="2" t="s">
        <v>33</v>
      </c>
      <c r="B14" s="2">
        <v>123.9239</v>
      </c>
      <c r="C14">
        <f>B14/C12</f>
        <v>1.3497324881070276</v>
      </c>
      <c r="D14" s="2" t="s">
        <v>39</v>
      </c>
      <c r="E14" s="2">
        <v>128.18989999999999</v>
      </c>
      <c r="F14">
        <f>E14/F12</f>
        <v>1.2756549877487169</v>
      </c>
      <c r="G14" s="2" t="s">
        <v>45</v>
      </c>
      <c r="H14" s="2">
        <v>134.73608380632299</v>
      </c>
      <c r="I14">
        <f>H14/I12</f>
        <v>1.2692926383883381</v>
      </c>
      <c r="J14" s="2" t="s">
        <v>51</v>
      </c>
      <c r="K14" s="2">
        <v>120.9102</v>
      </c>
      <c r="L14">
        <f>K14/L12</f>
        <v>1.3806033035769338</v>
      </c>
      <c r="M14" s="2" t="s">
        <v>57</v>
      </c>
      <c r="N14" s="2">
        <v>116.79349999999999</v>
      </c>
      <c r="O14">
        <f>N14/O12</f>
        <v>1.3998343596959506</v>
      </c>
    </row>
    <row r="15" spans="1:15" ht="16.5" x14ac:dyDescent="0.3">
      <c r="A15" s="2" t="s">
        <v>34</v>
      </c>
      <c r="B15" s="2">
        <v>124.3493</v>
      </c>
      <c r="C15">
        <f>B15/C12</f>
        <v>1.3543657848354289</v>
      </c>
      <c r="D15" s="2" t="s">
        <v>40</v>
      </c>
      <c r="E15" s="2">
        <v>128.864</v>
      </c>
      <c r="F15">
        <f>E15/F12</f>
        <v>1.2823631529570634</v>
      </c>
      <c r="G15" s="2" t="s">
        <v>46</v>
      </c>
      <c r="H15" s="2">
        <v>133.55347541019719</v>
      </c>
      <c r="I15">
        <f>H15/I12</f>
        <v>1.2581517762755841</v>
      </c>
      <c r="J15" s="2" t="s">
        <v>53</v>
      </c>
      <c r="K15" s="2">
        <v>120.6786</v>
      </c>
      <c r="L15">
        <f>K15/L12</f>
        <v>1.3779587977775187</v>
      </c>
      <c r="M15" s="2" t="s">
        <v>58</v>
      </c>
      <c r="N15" s="2">
        <v>117.52760000000001</v>
      </c>
      <c r="O15">
        <f>N15/O12</f>
        <v>1.4086329521129328</v>
      </c>
    </row>
    <row r="16" spans="1:15" ht="16.5" x14ac:dyDescent="0.3">
      <c r="A16" s="2" t="s">
        <v>35</v>
      </c>
      <c r="B16" s="2">
        <v>122.0397</v>
      </c>
      <c r="C16">
        <f>B16/C12</f>
        <v>1.329210490703046</v>
      </c>
      <c r="D16" s="2" t="s">
        <v>41</v>
      </c>
      <c r="E16" s="2">
        <v>128.1662</v>
      </c>
      <c r="F16">
        <f>E16/F12</f>
        <v>1.275419142153942</v>
      </c>
      <c r="G16" s="2" t="s">
        <v>47</v>
      </c>
      <c r="H16" s="2">
        <v>134.12310530938586</v>
      </c>
      <c r="I16">
        <f>H16/I12</f>
        <v>1.2635180227718483</v>
      </c>
      <c r="J16" s="2" t="s">
        <v>51</v>
      </c>
      <c r="K16" s="2">
        <v>119.1464</v>
      </c>
      <c r="L16">
        <f>K16/L12</f>
        <v>1.3604634964568645</v>
      </c>
      <c r="M16" s="2" t="s">
        <v>59</v>
      </c>
      <c r="N16" s="2">
        <v>117.679</v>
      </c>
      <c r="O16">
        <f>N16/O12</f>
        <v>1.4104475644163399</v>
      </c>
    </row>
    <row r="17" spans="1:15" ht="16.5" x14ac:dyDescent="0.3">
      <c r="A17" s="2" t="s">
        <v>33</v>
      </c>
      <c r="B17" s="2">
        <v>122.5569</v>
      </c>
      <c r="C17">
        <f>B17/C12</f>
        <v>1.334843638488493</v>
      </c>
      <c r="D17" s="2" t="s">
        <v>39</v>
      </c>
      <c r="E17" s="2">
        <v>126.2063</v>
      </c>
      <c r="F17">
        <f>E17/F12</f>
        <v>1.2559156070822342</v>
      </c>
      <c r="G17" s="2" t="s">
        <v>45</v>
      </c>
      <c r="H17" s="2">
        <v>134.2063</v>
      </c>
      <c r="I17">
        <f>H17/I12</f>
        <v>1.2643017653697208</v>
      </c>
      <c r="J17" s="2" t="s">
        <v>52</v>
      </c>
      <c r="K17" s="2">
        <v>119.5663</v>
      </c>
      <c r="L17">
        <f>K17/L12</f>
        <v>1.3652580905206568</v>
      </c>
      <c r="M17" s="2" t="s">
        <v>57</v>
      </c>
      <c r="N17" s="2">
        <v>117.7786</v>
      </c>
      <c r="O17">
        <f>N17/O12</f>
        <v>1.4116413252183169</v>
      </c>
    </row>
    <row r="19" spans="1:15" x14ac:dyDescent="0.3">
      <c r="F19" s="9"/>
    </row>
    <row r="20" spans="1:15" ht="16.5" x14ac:dyDescent="0.45">
      <c r="A20" s="5" t="s">
        <v>60</v>
      </c>
      <c r="B20" s="14"/>
      <c r="C20" s="14"/>
      <c r="D20" s="14"/>
      <c r="E20" s="14"/>
      <c r="F20" s="26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6.5" x14ac:dyDescent="0.45">
      <c r="A21" s="2" t="s">
        <v>62</v>
      </c>
      <c r="B21" s="14">
        <v>1.3147217601077819</v>
      </c>
      <c r="C21" s="14"/>
      <c r="D21" s="2" t="s">
        <v>63</v>
      </c>
      <c r="E21" s="14">
        <v>1.2924915127944998</v>
      </c>
      <c r="F21" s="26"/>
      <c r="G21" s="2" t="s">
        <v>64</v>
      </c>
      <c r="H21" s="14">
        <v>1.2940215015936236</v>
      </c>
      <c r="I21" s="14"/>
      <c r="J21" s="25" t="s">
        <v>65</v>
      </c>
      <c r="K21" s="25">
        <v>1.4292494460064511</v>
      </c>
      <c r="L21" s="14"/>
      <c r="M21" s="2" t="s">
        <v>66</v>
      </c>
      <c r="N21" s="14">
        <v>1.4528754693947779</v>
      </c>
      <c r="O21" s="14"/>
    </row>
    <row r="22" spans="1:15" ht="16.5" x14ac:dyDescent="0.45">
      <c r="A22" s="2" t="s">
        <v>67</v>
      </c>
      <c r="B22" s="14">
        <v>1.3635385359113583</v>
      </c>
      <c r="C22" s="14"/>
      <c r="D22" s="2" t="s">
        <v>68</v>
      </c>
      <c r="E22" s="14">
        <v>1.2726276937829428</v>
      </c>
      <c r="F22" s="26"/>
      <c r="G22" s="2" t="s">
        <v>69</v>
      </c>
      <c r="H22" s="14">
        <v>1.2744230980305025</v>
      </c>
      <c r="I22" s="14"/>
      <c r="J22" s="25" t="s">
        <v>70</v>
      </c>
      <c r="K22" s="25">
        <v>1.4499910314705413</v>
      </c>
      <c r="L22" s="14"/>
      <c r="M22" s="2" t="s">
        <v>71</v>
      </c>
      <c r="N22" s="14">
        <v>1.4242429372369976</v>
      </c>
      <c r="O22" s="14"/>
    </row>
    <row r="23" spans="1:15" ht="16.5" x14ac:dyDescent="0.45">
      <c r="A23" s="2" t="s">
        <v>72</v>
      </c>
      <c r="B23" s="14">
        <v>1.3316464970138862</v>
      </c>
      <c r="C23" s="14">
        <f>AVERAGE(B21:B24)</f>
        <v>1.3353884580917099</v>
      </c>
      <c r="D23" s="2" t="s">
        <v>73</v>
      </c>
      <c r="E23" s="14">
        <v>1.2978232045341549</v>
      </c>
      <c r="F23" s="14">
        <f>AVERAGE(E21:E24)</f>
        <v>1.2875160592354999</v>
      </c>
      <c r="G23" s="2" t="s">
        <v>74</v>
      </c>
      <c r="H23" s="14">
        <v>1.3004371920164983</v>
      </c>
      <c r="I23" s="14">
        <f>AVERAGE(H21:H24)</f>
        <v>1.2892627562647165</v>
      </c>
      <c r="J23" s="25" t="s">
        <v>75</v>
      </c>
      <c r="K23" s="25">
        <v>1.4334256451904537</v>
      </c>
      <c r="L23" s="14">
        <f>AVERAGE(K21:K24)</f>
        <v>1.43969238976393</v>
      </c>
      <c r="M23" s="2" t="s">
        <v>76</v>
      </c>
      <c r="N23" s="14">
        <v>1.4565828399446736</v>
      </c>
      <c r="O23" s="14">
        <f>AVERAGE(N21:N24)</f>
        <v>1.4472067476544941</v>
      </c>
    </row>
    <row r="24" spans="1:15" ht="16.5" x14ac:dyDescent="0.45">
      <c r="A24" s="2" t="s">
        <v>61</v>
      </c>
      <c r="B24" s="14">
        <v>1.3316470393338125</v>
      </c>
      <c r="C24" s="14">
        <f>_xlfn.STDEV.P(B21:B24)</f>
        <v>1.7660264535398755E-2</v>
      </c>
      <c r="D24" s="2" t="s">
        <v>63</v>
      </c>
      <c r="E24" s="14">
        <v>1.287121825830402</v>
      </c>
      <c r="F24" s="14">
        <f>_xlfn.STDEV.P(E21:E24)</f>
        <v>9.3916349502088919E-3</v>
      </c>
      <c r="G24" s="2" t="s">
        <v>64</v>
      </c>
      <c r="H24" s="14">
        <v>1.2881692334182424</v>
      </c>
      <c r="I24" s="14">
        <f>_xlfn.STDEV.P(H21:H24)</f>
        <v>9.6037091818751506E-3</v>
      </c>
      <c r="J24" s="25" t="s">
        <v>65</v>
      </c>
      <c r="K24" s="25">
        <v>1.4461034363882737</v>
      </c>
      <c r="L24" s="14">
        <f>_xlfn.STDEV.P(K21:K24)</f>
        <v>8.594921490213344E-3</v>
      </c>
      <c r="M24" s="2" t="s">
        <v>66</v>
      </c>
      <c r="N24" s="14">
        <v>1.4551257440415271</v>
      </c>
      <c r="O24" s="14">
        <f>_xlfn.STDEV.P(N21:N24)</f>
        <v>1.3323781421496796E-2</v>
      </c>
    </row>
    <row r="25" spans="1:15" ht="16.5" x14ac:dyDescent="0.4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6.5" x14ac:dyDescent="0.4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6.5" x14ac:dyDescent="0.45">
      <c r="A27" s="2" t="s">
        <v>77</v>
      </c>
      <c r="B27" s="14">
        <v>1.3497324881070276</v>
      </c>
      <c r="C27" s="14"/>
      <c r="D27" s="2" t="s">
        <v>78</v>
      </c>
      <c r="E27" s="14">
        <v>1.2756549877487169</v>
      </c>
      <c r="F27" s="14"/>
      <c r="G27" s="2" t="s">
        <v>79</v>
      </c>
      <c r="H27" s="14">
        <v>1.2692926383883381</v>
      </c>
      <c r="I27" s="14"/>
      <c r="J27" s="2" t="s">
        <v>80</v>
      </c>
      <c r="K27" s="14">
        <v>1.3806033035769338</v>
      </c>
      <c r="L27" s="14"/>
      <c r="M27" s="2" t="s">
        <v>81</v>
      </c>
      <c r="N27" s="14">
        <v>1.3998343596959506</v>
      </c>
      <c r="O27" s="14"/>
    </row>
    <row r="28" spans="1:15" ht="16.5" x14ac:dyDescent="0.45">
      <c r="A28" s="2" t="s">
        <v>82</v>
      </c>
      <c r="B28" s="14">
        <v>1.3543657848354289</v>
      </c>
      <c r="C28" s="14"/>
      <c r="D28" s="2" t="s">
        <v>83</v>
      </c>
      <c r="E28" s="14">
        <v>1.2823631529570634</v>
      </c>
      <c r="F28" s="14"/>
      <c r="G28" s="2" t="s">
        <v>84</v>
      </c>
      <c r="H28" s="14">
        <v>1.2581517762755841</v>
      </c>
      <c r="I28" s="14"/>
      <c r="J28" s="2" t="s">
        <v>85</v>
      </c>
      <c r="K28" s="14">
        <v>1.3779587977775187</v>
      </c>
      <c r="L28" s="14"/>
      <c r="M28" s="2" t="s">
        <v>86</v>
      </c>
      <c r="N28" s="14">
        <v>1.4086329521129328</v>
      </c>
      <c r="O28" s="14"/>
    </row>
    <row r="29" spans="1:15" ht="16.5" x14ac:dyDescent="0.45">
      <c r="A29" s="2" t="s">
        <v>87</v>
      </c>
      <c r="B29" s="14">
        <v>1.329210490703046</v>
      </c>
      <c r="C29" s="14">
        <f>AVERAGE(B27:B30)</f>
        <v>1.3420381005334989</v>
      </c>
      <c r="D29" s="2" t="s">
        <v>88</v>
      </c>
      <c r="E29" s="14">
        <v>1.275419142153942</v>
      </c>
      <c r="F29" s="14">
        <f>AVERAGE(E27:E30)</f>
        <v>1.2723382224854891</v>
      </c>
      <c r="G29" s="2" t="s">
        <v>89</v>
      </c>
      <c r="H29" s="14">
        <v>1.2635180227718483</v>
      </c>
      <c r="I29" s="14">
        <f>AVERAGE(H27:H30)</f>
        <v>1.2638160507013727</v>
      </c>
      <c r="J29" s="2" t="s">
        <v>80</v>
      </c>
      <c r="K29" s="14">
        <v>1.3604634964568645</v>
      </c>
      <c r="L29" s="14">
        <f>AVERAGE(K27:K30)</f>
        <v>1.3710709220829933</v>
      </c>
      <c r="M29" s="2" t="s">
        <v>90</v>
      </c>
      <c r="N29" s="14">
        <v>1.4104475644163399</v>
      </c>
      <c r="O29" s="14">
        <f>AVERAGE(N27:N30)</f>
        <v>1.4076390503608851</v>
      </c>
    </row>
    <row r="30" spans="1:15" ht="16.5" x14ac:dyDescent="0.45">
      <c r="A30" s="2" t="s">
        <v>77</v>
      </c>
      <c r="B30" s="14">
        <v>1.334843638488493</v>
      </c>
      <c r="C30" s="14">
        <f>_xlfn.STDEV.P(B27:B30)</f>
        <v>1.0337834135580433E-2</v>
      </c>
      <c r="D30" s="2" t="s">
        <v>78</v>
      </c>
      <c r="E30" s="14">
        <v>1.2559156070822342</v>
      </c>
      <c r="F30" s="14">
        <f>_xlfn.STDEV.P(E27:E30)</f>
        <v>9.8829970841078831E-3</v>
      </c>
      <c r="G30" s="2" t="s">
        <v>79</v>
      </c>
      <c r="H30" s="14">
        <v>1.2643017653697208</v>
      </c>
      <c r="I30" s="14">
        <f>_xlfn.STDEV.P(H27:H30)</f>
        <v>3.9497391321924339E-3</v>
      </c>
      <c r="J30" s="2" t="s">
        <v>91</v>
      </c>
      <c r="K30" s="14">
        <v>1.3652580905206568</v>
      </c>
      <c r="L30" s="14">
        <f>_xlfn.STDEV.P(K27:K30)</f>
        <v>8.435277377111014E-3</v>
      </c>
      <c r="M30" s="2" t="s">
        <v>81</v>
      </c>
      <c r="N30" s="14">
        <v>1.4116413252183169</v>
      </c>
      <c r="O30" s="14">
        <f>_xlfn.STDEV.P(N27:N30)</f>
        <v>4.6316031863210391E-3</v>
      </c>
    </row>
    <row r="32" spans="1:15" s="6" customFormat="1" ht="16.5" x14ac:dyDescent="0.3">
      <c r="A32" s="5" t="s">
        <v>92</v>
      </c>
      <c r="D32" s="5" t="s">
        <v>92</v>
      </c>
      <c r="G32" s="6" t="s">
        <v>93</v>
      </c>
      <c r="J32" s="6" t="s">
        <v>93</v>
      </c>
      <c r="M32" s="6" t="s">
        <v>93</v>
      </c>
    </row>
    <row r="35" spans="1:12" x14ac:dyDescent="0.3">
      <c r="A35" s="7" t="s">
        <v>95</v>
      </c>
      <c r="B35" s="7" t="s">
        <v>95</v>
      </c>
      <c r="C35" s="7" t="s">
        <v>244</v>
      </c>
      <c r="D35" s="7" t="s">
        <v>245</v>
      </c>
      <c r="E35" s="7" t="s">
        <v>252</v>
      </c>
      <c r="F35" s="7" t="s">
        <v>246</v>
      </c>
      <c r="G35" t="s">
        <v>107</v>
      </c>
    </row>
    <row r="36" spans="1:12" x14ac:dyDescent="0.3">
      <c r="A36" s="7" t="s">
        <v>104</v>
      </c>
      <c r="B36" s="7" t="s">
        <v>108</v>
      </c>
      <c r="C36" s="7">
        <v>1.3353999999999999</v>
      </c>
      <c r="D36" s="7">
        <v>1.3420000000000001</v>
      </c>
      <c r="E36" s="7" t="s">
        <v>253</v>
      </c>
      <c r="F36" s="7" t="s">
        <v>254</v>
      </c>
      <c r="G36" t="s">
        <v>112</v>
      </c>
    </row>
    <row r="37" spans="1:12" x14ac:dyDescent="0.3">
      <c r="A37" s="7" t="s">
        <v>99</v>
      </c>
      <c r="B37" s="7" t="s">
        <v>99</v>
      </c>
      <c r="C37" s="7">
        <v>1.2875000000000001</v>
      </c>
      <c r="D37" s="7">
        <v>1.2723</v>
      </c>
      <c r="E37" s="6" t="s">
        <v>255</v>
      </c>
      <c r="F37" s="7" t="s">
        <v>256</v>
      </c>
      <c r="G37" t="s">
        <v>112</v>
      </c>
    </row>
    <row r="38" spans="1:12" x14ac:dyDescent="0.3">
      <c r="A38" s="7" t="s">
        <v>101</v>
      </c>
      <c r="B38" s="7" t="s">
        <v>101</v>
      </c>
      <c r="C38" s="7">
        <v>1.2892999999999999</v>
      </c>
      <c r="D38" s="7">
        <v>1.2638</v>
      </c>
      <c r="E38" s="7" t="s">
        <v>257</v>
      </c>
      <c r="F38" s="7" t="s">
        <v>258</v>
      </c>
      <c r="G38" t="s">
        <v>117</v>
      </c>
    </row>
    <row r="39" spans="1:12" ht="16.5" x14ac:dyDescent="0.45">
      <c r="A39" s="7" t="s">
        <v>102</v>
      </c>
      <c r="B39" s="7" t="s">
        <v>102</v>
      </c>
      <c r="C39" s="7">
        <v>1.4397</v>
      </c>
      <c r="D39" s="7">
        <v>1.3711</v>
      </c>
      <c r="E39" s="7" t="s">
        <v>259</v>
      </c>
      <c r="F39" s="7" t="s">
        <v>260</v>
      </c>
      <c r="G39" t="s">
        <v>263</v>
      </c>
    </row>
    <row r="40" spans="1:12" x14ac:dyDescent="0.3">
      <c r="A40" s="7" t="s">
        <v>103</v>
      </c>
      <c r="B40" s="7" t="s">
        <v>103</v>
      </c>
      <c r="C40" s="7">
        <v>1.4472</v>
      </c>
      <c r="D40" s="7">
        <v>1.4076</v>
      </c>
      <c r="E40" s="7" t="s">
        <v>261</v>
      </c>
      <c r="F40" s="7" t="s">
        <v>262</v>
      </c>
      <c r="G40" t="s">
        <v>117</v>
      </c>
    </row>
    <row r="43" spans="1:12" x14ac:dyDescent="0.3">
      <c r="B43" t="s">
        <v>216</v>
      </c>
      <c r="C43" t="s">
        <v>217</v>
      </c>
      <c r="K43" t="s">
        <v>218</v>
      </c>
      <c r="L43" t="s">
        <v>219</v>
      </c>
    </row>
    <row r="44" spans="1:12" x14ac:dyDescent="0.3">
      <c r="A44" t="s">
        <v>104</v>
      </c>
      <c r="B44">
        <v>1.3353884580917099</v>
      </c>
      <c r="C44">
        <v>1.7660264535398755E-2</v>
      </c>
      <c r="J44" t="s">
        <v>104</v>
      </c>
      <c r="K44">
        <v>1.3420381005334989</v>
      </c>
      <c r="L44">
        <v>1.0337834135580433E-2</v>
      </c>
    </row>
    <row r="45" spans="1:12" x14ac:dyDescent="0.3">
      <c r="A45" t="s">
        <v>220</v>
      </c>
      <c r="B45">
        <v>1.2875160592354999</v>
      </c>
      <c r="C45">
        <v>9.3916349502088919E-3</v>
      </c>
      <c r="J45" t="s">
        <v>220</v>
      </c>
      <c r="K45">
        <v>1.2723382224854891</v>
      </c>
      <c r="L45">
        <v>9.8829970841078831E-3</v>
      </c>
    </row>
    <row r="46" spans="1:12" x14ac:dyDescent="0.3">
      <c r="A46" t="s">
        <v>221</v>
      </c>
      <c r="B46">
        <v>1.2892627562647165</v>
      </c>
      <c r="C46">
        <v>9.6037091818751506E-3</v>
      </c>
      <c r="J46" t="s">
        <v>221</v>
      </c>
      <c r="K46">
        <v>1.2638160507013727</v>
      </c>
      <c r="L46">
        <v>3.9497391321924339E-3</v>
      </c>
    </row>
    <row r="47" spans="1:12" x14ac:dyDescent="0.3">
      <c r="A47" t="s">
        <v>222</v>
      </c>
      <c r="B47">
        <v>1.43969238976393</v>
      </c>
      <c r="C47">
        <v>8.594921490213344E-3</v>
      </c>
      <c r="J47" t="s">
        <v>222</v>
      </c>
      <c r="K47">
        <v>1.3710709220829933</v>
      </c>
      <c r="L47">
        <v>8.435277377111014E-3</v>
      </c>
    </row>
    <row r="48" spans="1:12" x14ac:dyDescent="0.3">
      <c r="A48" t="s">
        <v>223</v>
      </c>
      <c r="B48">
        <v>1.4472067476544941</v>
      </c>
      <c r="C48">
        <v>1.3323781421496796E-2</v>
      </c>
      <c r="J48" t="s">
        <v>223</v>
      </c>
      <c r="K48">
        <v>1.4076390503608851</v>
      </c>
      <c r="L48">
        <v>4.6316031863210391E-3</v>
      </c>
    </row>
    <row r="51" spans="1:13" x14ac:dyDescent="0.3">
      <c r="B51" t="s">
        <v>216</v>
      </c>
      <c r="C51" t="s">
        <v>218</v>
      </c>
    </row>
    <row r="52" spans="1:13" x14ac:dyDescent="0.3">
      <c r="A52" t="s">
        <v>104</v>
      </c>
      <c r="B52">
        <v>1.3353884580917099</v>
      </c>
      <c r="C52">
        <v>1.3420381005334989</v>
      </c>
    </row>
    <row r="53" spans="1:13" x14ac:dyDescent="0.3">
      <c r="A53" t="s">
        <v>220</v>
      </c>
      <c r="B53">
        <v>1.2875160592354999</v>
      </c>
      <c r="C53">
        <v>1.2723382224854891</v>
      </c>
    </row>
    <row r="54" spans="1:13" ht="16.5" x14ac:dyDescent="0.3">
      <c r="A54" t="s">
        <v>221</v>
      </c>
      <c r="B54">
        <v>1.2892627562647165</v>
      </c>
      <c r="C54">
        <v>1.2638160507013727</v>
      </c>
      <c r="K54" s="24"/>
      <c r="L54" s="24"/>
      <c r="M54" s="24"/>
    </row>
    <row r="55" spans="1:13" ht="16.5" x14ac:dyDescent="0.3">
      <c r="A55" t="s">
        <v>222</v>
      </c>
      <c r="B55">
        <v>1.43969238976393</v>
      </c>
      <c r="C55">
        <v>1.3710709220829933</v>
      </c>
      <c r="K55" s="24"/>
      <c r="L55" s="24"/>
      <c r="M55" s="24"/>
    </row>
    <row r="56" spans="1:13" ht="16.5" x14ac:dyDescent="0.3">
      <c r="A56" t="s">
        <v>223</v>
      </c>
      <c r="B56">
        <v>1.4472067476544941</v>
      </c>
      <c r="C56">
        <v>1.4076390503608851</v>
      </c>
      <c r="K56" s="24"/>
      <c r="L56" s="24"/>
      <c r="M56" s="24"/>
    </row>
    <row r="57" spans="1:13" ht="16.5" x14ac:dyDescent="0.3">
      <c r="K57" s="24"/>
    </row>
    <row r="58" spans="1:13" ht="16.5" x14ac:dyDescent="0.3">
      <c r="K58" s="24"/>
    </row>
  </sheetData>
  <phoneticPr fontId="3" type="noConversion"/>
  <conditionalFormatting sqref="K21:K23">
    <cfRule type="notContainsBlanks" dxfId="26" priority="9">
      <formula>LEN(TRIM(K21))&gt;0</formula>
    </cfRule>
    <cfRule type="expression" dxfId="25" priority="10">
      <formula>IF(OR(T116="S1",T116="S2",T116="S3",T116="S4",T116="S5"),1,0)=1</formula>
    </cfRule>
  </conditionalFormatting>
  <conditionalFormatting sqref="K56:K58">
    <cfRule type="notContainsBlanks" dxfId="24" priority="3">
      <formula>LEN(TRIM(K56))&gt;0</formula>
    </cfRule>
    <cfRule type="expression" dxfId="23" priority="4">
      <formula>IF(OR(K154="S1",K154="S2",K154="S3",K154="S4",K154="S5"),1,0)=1</formula>
    </cfRule>
  </conditionalFormatting>
  <conditionalFormatting sqref="K54:M55">
    <cfRule type="notContainsBlanks" dxfId="22" priority="5">
      <formula>LEN(TRIM(K54))&gt;0</formula>
    </cfRule>
    <cfRule type="expression" dxfId="21" priority="6">
      <formula>IF(OR(K152="S1",K152="S2",K152="S3",K152="S4",K152="S5"),1,0)=1</formula>
    </cfRule>
  </conditionalFormatting>
  <conditionalFormatting sqref="L56:M56">
    <cfRule type="notContainsBlanks" dxfId="20" priority="7">
      <formula>LEN(TRIM(L56))&gt;0</formula>
    </cfRule>
    <cfRule type="expression" dxfId="19" priority="8">
      <formula>IF(OR(L154="S1",L154="S2",L154="S3",L154="S4",L154="S5"),1,0)=1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6594-13BF-4E29-9DF7-C4F51914A422}">
  <dimension ref="A1:T56"/>
  <sheetViews>
    <sheetView topLeftCell="A40" zoomScale="115" zoomScaleNormal="115" workbookViewId="0">
      <selection activeCell="K58" sqref="K58"/>
    </sheetView>
  </sheetViews>
  <sheetFormatPr defaultRowHeight="14" x14ac:dyDescent="0.3"/>
  <cols>
    <col min="1" max="1" width="15.33203125" style="6" customWidth="1"/>
    <col min="2" max="2" width="10.08203125" customWidth="1"/>
    <col min="4" max="4" width="18.08203125" bestFit="1" customWidth="1"/>
    <col min="5" max="5" width="17.83203125" customWidth="1"/>
    <col min="7" max="7" width="11.6640625" bestFit="1" customWidth="1"/>
    <col min="9" max="9" width="15" bestFit="1" customWidth="1"/>
    <col min="10" max="10" width="11.58203125" bestFit="1" customWidth="1"/>
    <col min="13" max="13" width="14.9140625" bestFit="1" customWidth="1"/>
    <col min="17" max="17" width="15" bestFit="1" customWidth="1"/>
  </cols>
  <sheetData>
    <row r="1" spans="1:20" ht="16.5" x14ac:dyDescent="0.3">
      <c r="A1" s="1" t="s">
        <v>0</v>
      </c>
      <c r="B1" s="1">
        <v>6.9444999999999997</v>
      </c>
      <c r="C1" s="1"/>
      <c r="D1" s="1"/>
      <c r="E1" s="1" t="s">
        <v>6</v>
      </c>
      <c r="F1" s="1">
        <v>6.0400999999999998</v>
      </c>
      <c r="G1" s="1"/>
      <c r="H1" s="1"/>
      <c r="I1" s="1" t="s">
        <v>131</v>
      </c>
      <c r="J1" s="1">
        <v>6.7183999999999999</v>
      </c>
      <c r="K1" s="1"/>
      <c r="L1" s="1"/>
      <c r="M1" s="1" t="s">
        <v>18</v>
      </c>
      <c r="N1" s="1">
        <v>5.1356999999999999</v>
      </c>
      <c r="O1" s="1"/>
      <c r="P1" s="1"/>
      <c r="Q1" s="1" t="s">
        <v>24</v>
      </c>
      <c r="R1" s="1">
        <v>7.7533000000000012</v>
      </c>
      <c r="S1" s="1"/>
      <c r="T1" s="3"/>
    </row>
    <row r="2" spans="1:20" ht="16.5" x14ac:dyDescent="0.3">
      <c r="A2" s="1" t="s">
        <v>1</v>
      </c>
      <c r="B2" s="1">
        <v>7.4935999999999998</v>
      </c>
      <c r="C2" s="1"/>
      <c r="D2" s="1"/>
      <c r="E2" s="1" t="s">
        <v>7</v>
      </c>
      <c r="F2" s="1">
        <v>6.7830000000000004</v>
      </c>
      <c r="G2" s="1"/>
      <c r="H2" s="1"/>
      <c r="I2" s="1" t="s">
        <v>13</v>
      </c>
      <c r="J2" s="1">
        <v>5.7493999999999996</v>
      </c>
      <c r="K2" s="1"/>
      <c r="L2" s="1"/>
      <c r="M2" s="1" t="s">
        <v>19</v>
      </c>
      <c r="N2" s="1">
        <v>5.8140000000000001</v>
      </c>
      <c r="O2" s="1"/>
      <c r="P2" s="1"/>
      <c r="Q2" s="1" t="s">
        <v>25</v>
      </c>
      <c r="R2" s="1">
        <v>8.2055000000000042</v>
      </c>
      <c r="S2" s="1"/>
      <c r="T2" s="3"/>
    </row>
    <row r="3" spans="1:20" ht="16.5" x14ac:dyDescent="0.3">
      <c r="A3" s="1" t="s">
        <v>2</v>
      </c>
      <c r="B3" s="1">
        <v>6.5246000000000004</v>
      </c>
      <c r="C3" s="1">
        <f>AVERAGE(B1:B4)</f>
        <v>6.718399999999999</v>
      </c>
      <c r="D3" s="1"/>
      <c r="E3" s="1" t="s">
        <v>8</v>
      </c>
      <c r="F3" s="1">
        <v>6.2339000000000002</v>
      </c>
      <c r="G3" s="1">
        <f>AVERAGE(F1:F4)</f>
        <v>6.1370000000000005</v>
      </c>
      <c r="H3" s="1"/>
      <c r="I3" s="1" t="s">
        <v>13</v>
      </c>
      <c r="J3" s="1">
        <v>5.6201999999999996</v>
      </c>
      <c r="K3" s="1">
        <f>AVERAGE(J1:J4)</f>
        <v>6.4276999999999997</v>
      </c>
      <c r="L3" s="1"/>
      <c r="M3" s="1" t="s">
        <v>19</v>
      </c>
      <c r="N3" s="1">
        <v>6.6538000000000004</v>
      </c>
      <c r="O3" s="1">
        <f>AVERAGE(N1:N4)</f>
        <v>6.0158750000000003</v>
      </c>
      <c r="P3" s="1"/>
      <c r="Q3" s="1" t="s">
        <v>25</v>
      </c>
      <c r="R3" s="1">
        <v>7.8179000000000025</v>
      </c>
      <c r="S3" s="1">
        <f>AVERAGE(R1:R4)</f>
        <v>8.2297250000000037</v>
      </c>
      <c r="T3" s="3"/>
    </row>
    <row r="4" spans="1:20" ht="16.5" x14ac:dyDescent="0.3">
      <c r="A4" s="1" t="s">
        <v>2</v>
      </c>
      <c r="B4" s="1">
        <v>5.9108999999999998</v>
      </c>
      <c r="C4" s="1"/>
      <c r="D4" s="1"/>
      <c r="E4" s="1" t="s">
        <v>8</v>
      </c>
      <c r="F4" s="1">
        <v>5.4909999999999997</v>
      </c>
      <c r="G4" s="1"/>
      <c r="H4" s="1"/>
      <c r="I4" s="1" t="s">
        <v>14</v>
      </c>
      <c r="J4" s="1">
        <v>7.6227999999999998</v>
      </c>
      <c r="K4" s="1"/>
      <c r="L4" s="1"/>
      <c r="M4" s="1" t="s">
        <v>20</v>
      </c>
      <c r="N4" s="1">
        <v>6.46</v>
      </c>
      <c r="O4" s="1"/>
      <c r="P4" s="1"/>
      <c r="Q4" s="1" t="s">
        <v>26</v>
      </c>
      <c r="R4" s="1">
        <v>9.1422000000000043</v>
      </c>
      <c r="S4" s="1"/>
      <c r="T4" s="3"/>
    </row>
    <row r="5" spans="1:20" ht="16.5" x14ac:dyDescent="0.3">
      <c r="A5" s="2" t="s">
        <v>3</v>
      </c>
      <c r="B5" s="2">
        <v>6.8277000000000001</v>
      </c>
      <c r="C5" s="2">
        <f>B5/C3</f>
        <v>1.016268754465349</v>
      </c>
      <c r="D5" s="2"/>
      <c r="E5" s="2" t="s">
        <v>9</v>
      </c>
      <c r="F5" s="2">
        <v>7.4737</v>
      </c>
      <c r="G5" s="2">
        <f>F5/G3</f>
        <v>1.2178100048883818</v>
      </c>
      <c r="H5" s="2"/>
      <c r="I5" s="2" t="s">
        <v>15</v>
      </c>
      <c r="J5" s="2">
        <v>8.5719000000000012</v>
      </c>
      <c r="K5" s="2">
        <f>J5/K3</f>
        <v>1.3335874418532292</v>
      </c>
      <c r="L5" s="2"/>
      <c r="M5" s="2" t="s">
        <v>22</v>
      </c>
      <c r="N5" s="2">
        <v>8.1843000000000004</v>
      </c>
      <c r="O5" s="2">
        <f>N5/O3</f>
        <v>1.3604504747854635</v>
      </c>
      <c r="P5" s="2"/>
      <c r="Q5" s="2" t="s">
        <v>27</v>
      </c>
      <c r="R5" s="2">
        <v>10.5745</v>
      </c>
      <c r="S5" s="2">
        <f>R5/S3</f>
        <v>1.2849153525786092</v>
      </c>
    </row>
    <row r="6" spans="1:20" ht="16.5" x14ac:dyDescent="0.3">
      <c r="A6" s="2" t="s">
        <v>4</v>
      </c>
      <c r="B6" s="2">
        <v>7.5060000000000002</v>
      </c>
      <c r="C6" s="2">
        <f>B6/C3</f>
        <v>1.1172302929268876</v>
      </c>
      <c r="D6" s="2"/>
      <c r="E6" s="2" t="s">
        <v>10</v>
      </c>
      <c r="F6" s="2">
        <v>7.2153</v>
      </c>
      <c r="G6" s="2">
        <f>F6/G3</f>
        <v>1.1757047417304871</v>
      </c>
      <c r="H6" s="2"/>
      <c r="I6" s="2" t="s">
        <v>16</v>
      </c>
      <c r="J6" s="2">
        <v>8.5073000000000008</v>
      </c>
      <c r="K6" s="2">
        <f>J6/K3</f>
        <v>1.3235371905969477</v>
      </c>
      <c r="L6" s="2"/>
      <c r="M6" s="2" t="s">
        <v>22</v>
      </c>
      <c r="N6" s="2">
        <v>7.6675000000000004</v>
      </c>
      <c r="O6" s="2">
        <f>N6/O3</f>
        <v>1.2745444345170072</v>
      </c>
      <c r="P6" s="2"/>
      <c r="Q6" s="2" t="s">
        <v>28</v>
      </c>
      <c r="R6" s="2">
        <v>10.799300000000001</v>
      </c>
      <c r="S6" s="2">
        <f>R6/S3</f>
        <v>1.3122309676204242</v>
      </c>
    </row>
    <row r="7" spans="1:20" ht="16.5" x14ac:dyDescent="0.3">
      <c r="A7" s="2" t="s">
        <v>4</v>
      </c>
      <c r="B7" s="2">
        <v>7.0215000000000005</v>
      </c>
      <c r="C7" s="2">
        <f>B7/C3</f>
        <v>1.045114908311503</v>
      </c>
      <c r="D7" s="2"/>
      <c r="E7" s="2" t="s">
        <v>10</v>
      </c>
      <c r="F7" s="2">
        <v>7.9259000000000004</v>
      </c>
      <c r="G7" s="2">
        <f>F7/G3</f>
        <v>1.2914942154146978</v>
      </c>
      <c r="H7" s="2"/>
      <c r="I7" s="2" t="s">
        <v>17</v>
      </c>
      <c r="J7" s="2">
        <v>8.7333999999999996</v>
      </c>
      <c r="K7" s="2">
        <f>J7/K3</f>
        <v>1.3587130699939325</v>
      </c>
      <c r="L7" s="2"/>
      <c r="M7" s="2" t="s">
        <v>23</v>
      </c>
      <c r="N7" s="2">
        <v>8.1519999999999992</v>
      </c>
      <c r="O7" s="2">
        <f>N7/O3</f>
        <v>1.3550813472686847</v>
      </c>
      <c r="P7" s="2"/>
      <c r="Q7" s="2" t="s">
        <v>29</v>
      </c>
      <c r="R7" s="2">
        <v>10.800600000000001</v>
      </c>
      <c r="S7" s="2">
        <f>R7/S3</f>
        <v>1.3123889315864135</v>
      </c>
    </row>
    <row r="8" spans="1:20" ht="16.5" x14ac:dyDescent="0.3">
      <c r="A8" s="2" t="s">
        <v>5</v>
      </c>
      <c r="B8" s="2">
        <v>6.5369999999999999</v>
      </c>
      <c r="C8" s="2">
        <f>B8/C3</f>
        <v>0.9729995236961182</v>
      </c>
      <c r="D8" s="2"/>
      <c r="E8" s="2" t="s">
        <v>11</v>
      </c>
      <c r="F8" s="2">
        <v>8.410400000000001</v>
      </c>
      <c r="G8" s="2">
        <f>F8/G3</f>
        <v>1.3704415838357504</v>
      </c>
      <c r="H8" s="2"/>
      <c r="I8" s="2" t="s">
        <v>17</v>
      </c>
      <c r="J8" s="2">
        <v>8.4749999999999996</v>
      </c>
      <c r="K8" s="2">
        <f>J8/K3</f>
        <v>1.3185120649688069</v>
      </c>
      <c r="L8" s="2"/>
      <c r="M8" s="2" t="s">
        <v>23</v>
      </c>
      <c r="N8" s="2">
        <v>8.6688000000000009</v>
      </c>
      <c r="O8" s="2">
        <f>N8/O3</f>
        <v>1.4409873875371415</v>
      </c>
      <c r="P8" s="2"/>
      <c r="Q8" s="2" t="s">
        <v>29</v>
      </c>
      <c r="R8" s="2">
        <v>11.155900000000001</v>
      </c>
      <c r="S8" s="2">
        <f>R8/S3</f>
        <v>1.3555616985986769</v>
      </c>
    </row>
    <row r="9" spans="1:20" ht="16.5" x14ac:dyDescent="0.3">
      <c r="A9" s="7"/>
      <c r="B9" s="8"/>
      <c r="C9" s="2"/>
      <c r="D9" s="2"/>
      <c r="E9" s="8"/>
      <c r="F9" s="8"/>
      <c r="G9" s="2"/>
      <c r="H9" s="2"/>
      <c r="I9" s="8"/>
      <c r="J9" s="8"/>
      <c r="K9" s="2"/>
      <c r="L9" s="2"/>
      <c r="M9" s="8"/>
      <c r="N9" s="8"/>
      <c r="O9" s="2"/>
      <c r="P9" s="2"/>
      <c r="Q9" s="8"/>
      <c r="R9" s="8"/>
      <c r="S9" s="2"/>
    </row>
    <row r="10" spans="1:20" ht="16.5" x14ac:dyDescent="0.3">
      <c r="A10" s="2"/>
      <c r="B10" s="2"/>
      <c r="C10" s="2"/>
      <c r="D10" s="2"/>
      <c r="E10" s="2"/>
      <c r="F10" s="2"/>
      <c r="G10" s="2"/>
      <c r="H10" s="2"/>
      <c r="I10" s="8"/>
      <c r="J10" s="8"/>
      <c r="K10" s="2"/>
      <c r="L10" s="2"/>
      <c r="M10" s="2"/>
      <c r="N10" s="2"/>
      <c r="O10" s="2"/>
      <c r="P10" s="2"/>
      <c r="Q10" s="2"/>
      <c r="R10" s="2"/>
      <c r="S10" s="2"/>
    </row>
    <row r="11" spans="1:20" ht="16.5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0" ht="16.5" x14ac:dyDescent="0.3">
      <c r="A12" s="1" t="s">
        <v>30</v>
      </c>
      <c r="B12" s="1">
        <v>9.3346999999999998</v>
      </c>
      <c r="C12" s="1"/>
      <c r="D12" s="1"/>
      <c r="E12" s="1" t="s">
        <v>36</v>
      </c>
      <c r="F12" s="1">
        <v>7.8489000000000004</v>
      </c>
      <c r="G12" s="1"/>
      <c r="H12" s="1"/>
      <c r="I12" s="1" t="s">
        <v>43</v>
      </c>
      <c r="J12" s="1">
        <v>8.6241000000000003</v>
      </c>
      <c r="K12" s="1"/>
      <c r="L12" s="1"/>
      <c r="M12" s="1" t="s">
        <v>49</v>
      </c>
      <c r="N12" s="1">
        <v>5.4587000000000003</v>
      </c>
      <c r="O12" s="1"/>
      <c r="P12" s="1"/>
      <c r="Q12" s="1" t="s">
        <v>54</v>
      </c>
      <c r="R12" s="1">
        <v>6.7431999999999999</v>
      </c>
      <c r="S12" s="1"/>
      <c r="T12" s="3"/>
    </row>
    <row r="13" spans="1:20" ht="16.5" x14ac:dyDescent="0.3">
      <c r="A13" s="1" t="s">
        <v>31</v>
      </c>
      <c r="B13" s="1">
        <v>9.6254000000000008</v>
      </c>
      <c r="C13" s="1"/>
      <c r="D13" s="1"/>
      <c r="E13" s="1" t="s">
        <v>37</v>
      </c>
      <c r="F13" s="1">
        <v>7.6874000000000002</v>
      </c>
      <c r="G13" s="1"/>
      <c r="H13" s="1"/>
      <c r="I13" s="1" t="s">
        <v>43</v>
      </c>
      <c r="J13" s="1">
        <v>7.5582000000000003</v>
      </c>
      <c r="K13" s="1"/>
      <c r="L13" s="1"/>
      <c r="M13" s="1" t="s">
        <v>49</v>
      </c>
      <c r="N13" s="1">
        <v>5.6524999999999999</v>
      </c>
      <c r="O13" s="1"/>
      <c r="P13" s="1"/>
      <c r="Q13" s="1" t="s">
        <v>55</v>
      </c>
      <c r="R13" s="1">
        <v>7.3904999999999994</v>
      </c>
      <c r="S13" s="1"/>
      <c r="T13" s="3"/>
    </row>
    <row r="14" spans="1:20" ht="16.5" x14ac:dyDescent="0.3">
      <c r="A14" s="1" t="s">
        <v>31</v>
      </c>
      <c r="B14" s="1">
        <v>8.6563999999999997</v>
      </c>
      <c r="C14" s="1">
        <f>AVERAGE(B12:B15)</f>
        <v>9.5608000000000004</v>
      </c>
      <c r="D14" s="1"/>
      <c r="E14" s="1" t="s">
        <v>37</v>
      </c>
      <c r="F14" s="1">
        <v>7.9781000000000004</v>
      </c>
      <c r="G14" s="1">
        <f>AVERAGE(F12:F15)</f>
        <v>8.2688000000000006</v>
      </c>
      <c r="H14" s="1"/>
      <c r="I14" s="1" t="s">
        <v>44</v>
      </c>
      <c r="J14" s="1">
        <v>8.3657000000000004</v>
      </c>
      <c r="K14" s="1">
        <f>AVERAGE(J12:J15)</f>
        <v>8.2607250000000008</v>
      </c>
      <c r="L14" s="1"/>
      <c r="M14" s="1" t="s">
        <v>50</v>
      </c>
      <c r="N14" s="1">
        <v>7.1706000000000003</v>
      </c>
      <c r="O14" s="1">
        <f>AVERAGE(N12:N15)</f>
        <v>6.500375</v>
      </c>
      <c r="P14" s="1"/>
      <c r="Q14" s="1" t="s">
        <v>56</v>
      </c>
      <c r="R14" s="1">
        <v>7.1966999999999999</v>
      </c>
      <c r="S14" s="1">
        <f>AVERAGE(R12:R15)</f>
        <v>7.0913999999999993</v>
      </c>
      <c r="T14" s="3"/>
    </row>
    <row r="15" spans="1:20" ht="16.5" x14ac:dyDescent="0.3">
      <c r="A15" s="1" t="s">
        <v>32</v>
      </c>
      <c r="B15" s="1">
        <v>10.6267</v>
      </c>
      <c r="C15" s="1"/>
      <c r="D15" s="1"/>
      <c r="E15" s="1" t="s">
        <v>38</v>
      </c>
      <c r="F15" s="1">
        <v>9.5608000000000004</v>
      </c>
      <c r="G15" s="1"/>
      <c r="H15" s="1"/>
      <c r="I15" s="1" t="s">
        <v>44</v>
      </c>
      <c r="J15" s="1">
        <v>8.4948999999999995</v>
      </c>
      <c r="K15" s="1"/>
      <c r="L15" s="1"/>
      <c r="M15" s="1" t="s">
        <v>50</v>
      </c>
      <c r="N15" s="1">
        <v>7.7196999999999996</v>
      </c>
      <c r="O15" s="1"/>
      <c r="P15" s="1"/>
      <c r="Q15" s="1" t="s">
        <v>56</v>
      </c>
      <c r="R15" s="1">
        <v>7.0351999999999997</v>
      </c>
      <c r="S15" s="1"/>
      <c r="T15" s="3"/>
    </row>
    <row r="16" spans="1:20" ht="16.5" x14ac:dyDescent="0.3">
      <c r="A16" s="2" t="s">
        <v>33</v>
      </c>
      <c r="B16" s="2">
        <v>9.6290000000000031</v>
      </c>
      <c r="C16" s="2">
        <f>B16/C14</f>
        <v>1.0071332942849973</v>
      </c>
      <c r="D16" s="2"/>
      <c r="E16" s="2" t="s">
        <v>40</v>
      </c>
      <c r="F16" s="2">
        <v>9.5639000000000021</v>
      </c>
      <c r="G16" s="2">
        <f>F16/G14</f>
        <v>1.1566249032507741</v>
      </c>
      <c r="H16" s="2"/>
      <c r="I16" s="2" t="s">
        <v>45</v>
      </c>
      <c r="J16" s="2">
        <v>10.030299999999997</v>
      </c>
      <c r="K16" s="2">
        <f>J16/K14</f>
        <v>1.214215459296853</v>
      </c>
      <c r="L16" s="2"/>
      <c r="M16" s="2" t="s">
        <v>51</v>
      </c>
      <c r="N16" s="2">
        <v>7.2799000000000005</v>
      </c>
      <c r="O16" s="2">
        <f>N16/O14</f>
        <v>1.1199200046151185</v>
      </c>
      <c r="P16" s="2"/>
      <c r="Q16" s="2" t="s">
        <v>57</v>
      </c>
      <c r="R16" s="2">
        <v>7.0786000000000007</v>
      </c>
      <c r="S16" s="2">
        <f>R16/S14</f>
        <v>0.99819499675663503</v>
      </c>
    </row>
    <row r="17" spans="1:19" ht="16.5" x14ac:dyDescent="0.3">
      <c r="A17" s="2" t="s">
        <v>34</v>
      </c>
      <c r="B17" s="2">
        <v>9.3383000000000038</v>
      </c>
      <c r="C17" s="2">
        <f>B17/C14</f>
        <v>0.97672788887959205</v>
      </c>
      <c r="D17" s="2"/>
      <c r="E17" s="2" t="s">
        <v>40</v>
      </c>
      <c r="F17" s="2">
        <v>9.273200000000001</v>
      </c>
      <c r="G17" s="2">
        <f>F17/G14</f>
        <v>1.1214686532507741</v>
      </c>
      <c r="H17" s="2"/>
      <c r="I17" s="2" t="s">
        <v>46</v>
      </c>
      <c r="J17" s="2">
        <v>9.8028999999999993</v>
      </c>
      <c r="K17" s="2">
        <f>J17/K14</f>
        <v>1.1866876091384229</v>
      </c>
      <c r="L17" s="2"/>
      <c r="M17" s="2" t="s">
        <v>52</v>
      </c>
      <c r="N17" s="2">
        <v>6.6985000000000001</v>
      </c>
      <c r="O17" s="2">
        <f>N17/O14</f>
        <v>1.0304790108262984</v>
      </c>
      <c r="P17" s="2"/>
      <c r="Q17" s="2" t="s">
        <v>58</v>
      </c>
      <c r="R17" s="2">
        <v>7.1755000000000013</v>
      </c>
      <c r="S17" s="2">
        <f>R17/S14</f>
        <v>1.0118594353724233</v>
      </c>
    </row>
    <row r="18" spans="1:19" ht="16.5" x14ac:dyDescent="0.3">
      <c r="A18" s="2" t="s">
        <v>34</v>
      </c>
      <c r="B18" s="2">
        <v>8.692300000000003</v>
      </c>
      <c r="C18" s="2">
        <f>B18/C14</f>
        <v>0.9091603213120244</v>
      </c>
      <c r="D18" s="2"/>
      <c r="E18" s="2" t="s">
        <v>41</v>
      </c>
      <c r="F18" s="2">
        <v>8.7912999999999997</v>
      </c>
      <c r="G18" s="2">
        <f>F18/G14</f>
        <v>1.0631893382352939</v>
      </c>
      <c r="H18" s="2"/>
      <c r="I18" s="2" t="s">
        <v>46</v>
      </c>
      <c r="J18" s="2">
        <v>9.8364999999999956</v>
      </c>
      <c r="K18" s="2">
        <f>J18/K14</f>
        <v>1.1907550487396681</v>
      </c>
      <c r="L18" s="2"/>
      <c r="M18" s="2" t="s">
        <v>52</v>
      </c>
      <c r="N18" s="2">
        <v>6.4724000000000004</v>
      </c>
      <c r="O18" s="2">
        <f>N18/O14</f>
        <v>0.99569640213064636</v>
      </c>
      <c r="P18" s="2"/>
      <c r="Q18" s="2" t="s">
        <v>58</v>
      </c>
      <c r="R18" s="2">
        <v>6.7556000000000012</v>
      </c>
      <c r="S18" s="2">
        <f>R18/S14</f>
        <v>0.95264686803734122</v>
      </c>
    </row>
    <row r="19" spans="1:19" ht="16.5" x14ac:dyDescent="0.3">
      <c r="A19" s="2" t="s">
        <v>35</v>
      </c>
      <c r="B19" s="2">
        <v>8.950700000000003</v>
      </c>
      <c r="C19" s="2">
        <f>B19/C14</f>
        <v>0.93618734833905137</v>
      </c>
      <c r="D19" s="2"/>
      <c r="E19" s="2" t="s">
        <v>41</v>
      </c>
      <c r="F19" s="2">
        <v>9.1478999999999999</v>
      </c>
      <c r="G19" s="2">
        <f>F19/G14</f>
        <v>1.1063153057275541</v>
      </c>
      <c r="H19" s="2"/>
      <c r="I19" s="2" t="s">
        <v>47</v>
      </c>
      <c r="J19" s="2">
        <v>9.3475999999999999</v>
      </c>
      <c r="K19" s="2">
        <f>J19/K14</f>
        <v>1.1315713814465436</v>
      </c>
      <c r="L19" s="2"/>
      <c r="M19" s="2" t="s">
        <v>53</v>
      </c>
      <c r="N19" s="2">
        <v>6.6463000000000001</v>
      </c>
      <c r="O19" s="2">
        <f>N19/O14</f>
        <v>1.0224487048824107</v>
      </c>
      <c r="P19" s="2"/>
      <c r="Q19" s="2" t="s">
        <v>59</v>
      </c>
      <c r="R19" s="2">
        <v>7.2698000000000009</v>
      </c>
      <c r="S19" s="2">
        <f>R19/S14</f>
        <v>1.0251572327044027</v>
      </c>
    </row>
    <row r="20" spans="1:19" ht="16.5" x14ac:dyDescent="0.3">
      <c r="C20" s="5"/>
      <c r="D20" s="5"/>
      <c r="G20" s="5"/>
      <c r="H20" s="5"/>
      <c r="K20" s="5"/>
      <c r="L20" s="5"/>
      <c r="O20" s="5"/>
      <c r="P20" s="5"/>
      <c r="S20" s="5"/>
    </row>
    <row r="21" spans="1:19" ht="16.5" x14ac:dyDescent="0.3">
      <c r="C21" s="5"/>
      <c r="D21" s="5"/>
      <c r="E21" s="5"/>
      <c r="F21" s="5"/>
      <c r="G21" s="5"/>
      <c r="H21" s="5"/>
      <c r="K21" s="5"/>
      <c r="L21" s="5"/>
      <c r="O21" s="5"/>
      <c r="P21" s="5"/>
      <c r="S21" s="5"/>
    </row>
    <row r="22" spans="1:19" ht="16.5" x14ac:dyDescent="0.3">
      <c r="A22" s="5" t="s">
        <v>60</v>
      </c>
    </row>
    <row r="23" spans="1:19" ht="16.5" x14ac:dyDescent="0.3">
      <c r="A23" s="2" t="s">
        <v>62</v>
      </c>
      <c r="B23">
        <v>1.016268754465349</v>
      </c>
      <c r="D23" s="2" t="s">
        <v>63</v>
      </c>
      <c r="E23">
        <v>1.2178100048883818</v>
      </c>
      <c r="G23" s="2" t="s">
        <v>64</v>
      </c>
      <c r="H23">
        <v>1.3335874418532292</v>
      </c>
      <c r="J23" s="2" t="s">
        <v>65</v>
      </c>
      <c r="K23">
        <v>1.3604504747854635</v>
      </c>
      <c r="M23" s="2" t="s">
        <v>66</v>
      </c>
      <c r="N23">
        <v>1.2849153525786092</v>
      </c>
    </row>
    <row r="24" spans="1:19" ht="16.5" x14ac:dyDescent="0.3">
      <c r="A24" s="2" t="s">
        <v>67</v>
      </c>
      <c r="B24">
        <v>1.1172302929268876</v>
      </c>
      <c r="D24" s="2" t="s">
        <v>68</v>
      </c>
      <c r="E24">
        <v>1.1757047417304871</v>
      </c>
      <c r="G24" s="2" t="s">
        <v>69</v>
      </c>
      <c r="H24">
        <v>1.3235371905969477</v>
      </c>
      <c r="J24" s="2" t="s">
        <v>70</v>
      </c>
      <c r="K24">
        <v>1.2745444345170072</v>
      </c>
      <c r="M24" s="2" t="s">
        <v>71</v>
      </c>
      <c r="N24">
        <v>1.3122309676204242</v>
      </c>
    </row>
    <row r="25" spans="1:19" ht="16.5" x14ac:dyDescent="0.3">
      <c r="A25" s="2" t="s">
        <v>72</v>
      </c>
      <c r="B25">
        <v>1.045114908311503</v>
      </c>
      <c r="C25">
        <f>AVERAGE(B23:B26)</f>
        <v>1.0379033698499645</v>
      </c>
      <c r="D25" s="2" t="s">
        <v>73</v>
      </c>
      <c r="E25">
        <v>1.2914942154146978</v>
      </c>
      <c r="F25">
        <f>AVERAGE(E23:E26)</f>
        <v>1.2638626364673291</v>
      </c>
      <c r="G25" s="2" t="s">
        <v>74</v>
      </c>
      <c r="H25">
        <v>1.3587130699939325</v>
      </c>
      <c r="I25">
        <f>AVERAGE(H23:H26)</f>
        <v>1.3335874418532292</v>
      </c>
      <c r="J25" s="2" t="s">
        <v>75</v>
      </c>
      <c r="K25">
        <v>1.3550813472686847</v>
      </c>
      <c r="L25">
        <f>AVERAGE(K23:K26)</f>
        <v>1.3577659110270741</v>
      </c>
      <c r="M25" s="2" t="s">
        <v>76</v>
      </c>
      <c r="N25">
        <v>1.3123889315864135</v>
      </c>
      <c r="O25">
        <f>AVERAGE(N23:N26)</f>
        <v>1.3162742375960308</v>
      </c>
    </row>
    <row r="26" spans="1:19" ht="16.5" x14ac:dyDescent="0.3">
      <c r="A26" s="2" t="s">
        <v>61</v>
      </c>
      <c r="B26">
        <v>0.9729995236961182</v>
      </c>
      <c r="C26">
        <f>_xlfn.STDEV.P(B23:B26)</f>
        <v>5.2500792470773029E-2</v>
      </c>
      <c r="D26" s="2" t="s">
        <v>63</v>
      </c>
      <c r="E26">
        <v>1.3704415838357504</v>
      </c>
      <c r="F26">
        <f>_xlfn.STDEV.P(E23:E26)</f>
        <v>7.4187659784265614E-2</v>
      </c>
      <c r="G26" s="2" t="s">
        <v>64</v>
      </c>
      <c r="H26">
        <v>1.3185120649688069</v>
      </c>
      <c r="I26">
        <f>_xlfn.STDEV.P(H23:H26)</f>
        <v>1.5488477394394372E-2</v>
      </c>
      <c r="J26" s="2" t="s">
        <v>65</v>
      </c>
      <c r="K26">
        <v>1.4409873875371415</v>
      </c>
      <c r="L26">
        <f>_xlfn.STDEV.P(K23:K26)</f>
        <v>5.8877079730097516E-2</v>
      </c>
      <c r="M26" s="2" t="s">
        <v>66</v>
      </c>
      <c r="N26">
        <v>1.3555616985986769</v>
      </c>
      <c r="O26">
        <f>_xlfn.STDEV.P(N23:N26)</f>
        <v>2.5289957969786728E-2</v>
      </c>
    </row>
    <row r="27" spans="1:19" x14ac:dyDescent="0.3">
      <c r="A27"/>
    </row>
    <row r="28" spans="1:19" x14ac:dyDescent="0.3">
      <c r="A28"/>
    </row>
    <row r="29" spans="1:19" ht="16.5" x14ac:dyDescent="0.3">
      <c r="A29" s="2" t="s">
        <v>77</v>
      </c>
      <c r="B29">
        <v>1.0071332942849973</v>
      </c>
      <c r="D29" s="2" t="s">
        <v>78</v>
      </c>
      <c r="E29">
        <v>1.1566249032507741</v>
      </c>
      <c r="G29" s="2" t="s">
        <v>79</v>
      </c>
      <c r="H29">
        <v>1.214215459296853</v>
      </c>
      <c r="J29" s="2" t="s">
        <v>80</v>
      </c>
      <c r="K29">
        <v>1.1199200046151185</v>
      </c>
      <c r="M29" s="2" t="s">
        <v>81</v>
      </c>
      <c r="N29">
        <v>0.99819499675663503</v>
      </c>
    </row>
    <row r="30" spans="1:19" ht="16.5" x14ac:dyDescent="0.3">
      <c r="A30" s="2" t="s">
        <v>82</v>
      </c>
      <c r="B30">
        <v>0.97672788887959205</v>
      </c>
      <c r="D30" s="2" t="s">
        <v>83</v>
      </c>
      <c r="E30">
        <v>1.1214686532507741</v>
      </c>
      <c r="G30" s="2" t="s">
        <v>84</v>
      </c>
      <c r="H30">
        <v>1.1866876091384229</v>
      </c>
      <c r="J30" s="2" t="s">
        <v>85</v>
      </c>
      <c r="K30">
        <v>1.0304790108262984</v>
      </c>
      <c r="M30" s="2" t="s">
        <v>86</v>
      </c>
      <c r="N30">
        <v>1.0118594353724233</v>
      </c>
    </row>
    <row r="31" spans="1:19" ht="16.5" x14ac:dyDescent="0.3">
      <c r="A31" s="2" t="s">
        <v>87</v>
      </c>
      <c r="B31">
        <v>0.9091603213120244</v>
      </c>
      <c r="C31">
        <f>AVERAGE(B29:B32)</f>
        <v>0.95730221320391629</v>
      </c>
      <c r="D31" s="2" t="s">
        <v>88</v>
      </c>
      <c r="E31">
        <v>1.0631893382352939</v>
      </c>
      <c r="F31">
        <f>AVERAGE(E29:E32)</f>
        <v>1.1118995501160991</v>
      </c>
      <c r="G31" s="2" t="s">
        <v>89</v>
      </c>
      <c r="H31">
        <v>1.1907550487396681</v>
      </c>
      <c r="I31">
        <f>AVERAGE(H29:H32)</f>
        <v>1.1808073746553718</v>
      </c>
      <c r="J31" s="2" t="s">
        <v>80</v>
      </c>
      <c r="K31">
        <v>0.99569640213064636</v>
      </c>
      <c r="L31">
        <f>AVERAGE(K29:K32)</f>
        <v>1.0421360306136185</v>
      </c>
      <c r="M31" s="2" t="s">
        <v>90</v>
      </c>
      <c r="N31">
        <v>0.95264686803734122</v>
      </c>
      <c r="O31">
        <f>AVERAGE(N29:N32)</f>
        <v>0.99696463321770046</v>
      </c>
    </row>
    <row r="32" spans="1:19" ht="16.5" x14ac:dyDescent="0.3">
      <c r="A32" s="2" t="s">
        <v>77</v>
      </c>
      <c r="B32">
        <v>0.93618734833905137</v>
      </c>
      <c r="C32">
        <f>_xlfn.STDEV.P(B29:B32)</f>
        <v>3.7496575811525532E-2</v>
      </c>
      <c r="D32" s="2" t="s">
        <v>78</v>
      </c>
      <c r="E32">
        <v>1.1063153057275541</v>
      </c>
      <c r="F32">
        <f>_xlfn.STDEV.P(E29:E32)</f>
        <v>3.3525339202934823E-2</v>
      </c>
      <c r="G32" s="2" t="s">
        <v>79</v>
      </c>
      <c r="H32">
        <v>1.1315713814465436</v>
      </c>
      <c r="I32">
        <f>_xlfn.STDEV.P(H29:H32)</f>
        <v>3.0306008166431277E-2</v>
      </c>
      <c r="J32" s="2" t="s">
        <v>91</v>
      </c>
      <c r="K32">
        <v>1.0224487048824107</v>
      </c>
      <c r="L32">
        <f>_xlfn.STDEV.P(K29:K32)</f>
        <v>4.6718472283110782E-2</v>
      </c>
      <c r="M32" s="2" t="s">
        <v>81</v>
      </c>
      <c r="N32">
        <v>1.0251572327044027</v>
      </c>
      <c r="O32">
        <f>_xlfn.STDEV.P(N29:N32)</f>
        <v>2.7305017405530721E-2</v>
      </c>
    </row>
    <row r="33" spans="1:14" x14ac:dyDescent="0.3">
      <c r="A33"/>
    </row>
    <row r="34" spans="1:14" ht="16.5" x14ac:dyDescent="0.3">
      <c r="A34" s="5" t="s">
        <v>92</v>
      </c>
      <c r="B34" s="6"/>
      <c r="C34" s="6"/>
      <c r="D34" s="5" t="s">
        <v>94</v>
      </c>
      <c r="E34" s="6"/>
      <c r="F34" s="6"/>
      <c r="G34" s="6" t="s">
        <v>93</v>
      </c>
      <c r="H34" s="6"/>
      <c r="I34" s="6"/>
      <c r="J34" s="6" t="s">
        <v>93</v>
      </c>
      <c r="K34" s="6"/>
      <c r="L34" s="6"/>
      <c r="M34" s="6" t="s">
        <v>93</v>
      </c>
      <c r="N34" s="6"/>
    </row>
    <row r="35" spans="1:14" x14ac:dyDescent="0.3">
      <c r="A35"/>
    </row>
    <row r="36" spans="1:14" x14ac:dyDescent="0.3">
      <c r="A36" s="7" t="s">
        <v>105</v>
      </c>
      <c r="B36" s="7" t="s">
        <v>96</v>
      </c>
      <c r="C36" s="7" t="s">
        <v>97</v>
      </c>
      <c r="D36" s="7" t="s">
        <v>106</v>
      </c>
      <c r="E36" s="7" t="s">
        <v>98</v>
      </c>
      <c r="F36" s="7" t="s">
        <v>107</v>
      </c>
    </row>
    <row r="37" spans="1:14" x14ac:dyDescent="0.3">
      <c r="A37" s="7" t="s">
        <v>108</v>
      </c>
      <c r="B37" s="7">
        <v>1.0379</v>
      </c>
      <c r="C37" s="7">
        <v>0.95730000000000004</v>
      </c>
      <c r="D37" s="7">
        <v>8.1000000000000003E-2</v>
      </c>
      <c r="E37" s="7">
        <v>7.3999999999999996E-2</v>
      </c>
      <c r="F37" s="7" t="s">
        <v>110</v>
      </c>
    </row>
    <row r="38" spans="1:14" x14ac:dyDescent="0.3">
      <c r="A38" s="7" t="s">
        <v>99</v>
      </c>
      <c r="B38" s="7">
        <v>1.2639</v>
      </c>
      <c r="C38" s="7">
        <v>1.1119000000000001</v>
      </c>
      <c r="D38" s="7">
        <v>0.152</v>
      </c>
      <c r="E38" s="7">
        <v>1.7999999999999999E-2</v>
      </c>
      <c r="F38" s="7" t="s">
        <v>114</v>
      </c>
    </row>
    <row r="39" spans="1:14" x14ac:dyDescent="0.3">
      <c r="A39" s="7" t="s">
        <v>101</v>
      </c>
      <c r="B39" s="7">
        <v>1.3335999999999999</v>
      </c>
      <c r="C39" s="7">
        <v>1.1808000000000001</v>
      </c>
      <c r="D39" s="7">
        <v>0.153</v>
      </c>
      <c r="E39" s="7">
        <v>2.0000000000000001E-4</v>
      </c>
      <c r="F39" s="7" t="s">
        <v>117</v>
      </c>
    </row>
    <row r="40" spans="1:14" x14ac:dyDescent="0.3">
      <c r="A40" s="7" t="s">
        <v>102</v>
      </c>
      <c r="B40" s="7">
        <v>1.3577999999999999</v>
      </c>
      <c r="C40" s="7">
        <v>1.0421</v>
      </c>
      <c r="D40" s="7">
        <v>0.316</v>
      </c>
      <c r="E40" s="7">
        <v>2.9999999999999997E-4</v>
      </c>
      <c r="F40" s="7" t="s">
        <v>117</v>
      </c>
    </row>
    <row r="41" spans="1:14" x14ac:dyDescent="0.3">
      <c r="A41" s="7" t="s">
        <v>103</v>
      </c>
      <c r="B41" s="7">
        <v>1.3163</v>
      </c>
      <c r="C41" s="7">
        <v>0.997</v>
      </c>
      <c r="D41" s="7">
        <v>0.31900000000000001</v>
      </c>
      <c r="E41" s="7" t="s">
        <v>100</v>
      </c>
      <c r="F41" s="7" t="s">
        <v>132</v>
      </c>
    </row>
    <row r="42" spans="1:14" x14ac:dyDescent="0.3">
      <c r="A42"/>
    </row>
    <row r="43" spans="1:14" x14ac:dyDescent="0.3">
      <c r="A43"/>
      <c r="B43" t="s">
        <v>216</v>
      </c>
      <c r="C43" t="s">
        <v>217</v>
      </c>
      <c r="K43" t="s">
        <v>218</v>
      </c>
      <c r="L43" t="s">
        <v>219</v>
      </c>
    </row>
    <row r="44" spans="1:14" x14ac:dyDescent="0.3">
      <c r="A44" t="s">
        <v>104</v>
      </c>
      <c r="B44" s="6">
        <v>1.0379033698499645</v>
      </c>
      <c r="C44" s="6">
        <v>5.2500792470773029E-2</v>
      </c>
      <c r="J44" t="s">
        <v>104</v>
      </c>
      <c r="K44" s="6">
        <v>0.95730221320391629</v>
      </c>
      <c r="L44" s="6">
        <v>3.7496575811525532E-2</v>
      </c>
    </row>
    <row r="45" spans="1:14" x14ac:dyDescent="0.3">
      <c r="A45" t="s">
        <v>220</v>
      </c>
      <c r="B45">
        <v>1.2638626364673291</v>
      </c>
      <c r="C45">
        <v>7.4187659784265614E-2</v>
      </c>
      <c r="J45" t="s">
        <v>220</v>
      </c>
      <c r="K45">
        <v>1.1118995501160991</v>
      </c>
      <c r="L45">
        <v>3.3525339202934823E-2</v>
      </c>
    </row>
    <row r="46" spans="1:14" x14ac:dyDescent="0.3">
      <c r="A46" t="s">
        <v>221</v>
      </c>
      <c r="B46">
        <v>1.3335874418532292</v>
      </c>
      <c r="C46">
        <v>1.5488477394394372E-2</v>
      </c>
      <c r="J46" t="s">
        <v>221</v>
      </c>
      <c r="K46">
        <v>1.1808073746553718</v>
      </c>
      <c r="L46">
        <v>3.0306008166431277E-2</v>
      </c>
    </row>
    <row r="47" spans="1:14" x14ac:dyDescent="0.3">
      <c r="A47" t="s">
        <v>222</v>
      </c>
      <c r="B47">
        <v>1.3577659110270741</v>
      </c>
      <c r="C47">
        <v>5.8877079730097516E-2</v>
      </c>
      <c r="J47" t="s">
        <v>222</v>
      </c>
      <c r="K47">
        <v>1.0421360306136185</v>
      </c>
      <c r="L47">
        <v>4.6718472283110782E-2</v>
      </c>
    </row>
    <row r="48" spans="1:14" x14ac:dyDescent="0.3">
      <c r="A48" t="s">
        <v>223</v>
      </c>
      <c r="B48">
        <v>1.3162742375960308</v>
      </c>
      <c r="C48">
        <v>2.5289957969786728E-2</v>
      </c>
      <c r="J48" t="s">
        <v>223</v>
      </c>
      <c r="K48">
        <v>0.99696463321770046</v>
      </c>
      <c r="L48">
        <v>2.7305017405530721E-2</v>
      </c>
    </row>
    <row r="51" spans="1:3" x14ac:dyDescent="0.3">
      <c r="A51"/>
      <c r="B51" t="s">
        <v>216</v>
      </c>
      <c r="C51" t="s">
        <v>218</v>
      </c>
    </row>
    <row r="52" spans="1:3" x14ac:dyDescent="0.3">
      <c r="A52" t="s">
        <v>104</v>
      </c>
      <c r="B52" s="6">
        <v>1.0379033698499645</v>
      </c>
      <c r="C52" s="6">
        <v>0.95730221320391629</v>
      </c>
    </row>
    <row r="53" spans="1:3" x14ac:dyDescent="0.3">
      <c r="A53" t="s">
        <v>220</v>
      </c>
      <c r="B53">
        <v>1.2638626364673291</v>
      </c>
      <c r="C53">
        <v>1.1118995501160991</v>
      </c>
    </row>
    <row r="54" spans="1:3" x14ac:dyDescent="0.3">
      <c r="A54" t="s">
        <v>221</v>
      </c>
      <c r="B54">
        <v>1.3335874418532292</v>
      </c>
      <c r="C54">
        <v>1.1808073746553718</v>
      </c>
    </row>
    <row r="55" spans="1:3" x14ac:dyDescent="0.3">
      <c r="A55" t="s">
        <v>222</v>
      </c>
      <c r="B55">
        <v>1.3577659110270741</v>
      </c>
      <c r="C55">
        <v>1.0421360306136185</v>
      </c>
    </row>
    <row r="56" spans="1:3" x14ac:dyDescent="0.3">
      <c r="A56" t="s">
        <v>223</v>
      </c>
      <c r="B56">
        <v>1.3162742375960308</v>
      </c>
      <c r="C56">
        <v>0.99696463321770046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FF419-679C-4999-93E9-BEADE7D3DEFD}">
  <dimension ref="A1:O57"/>
  <sheetViews>
    <sheetView topLeftCell="A44" zoomScale="130" zoomScaleNormal="130" workbookViewId="0">
      <selection activeCell="K64" sqref="K64"/>
    </sheetView>
  </sheetViews>
  <sheetFormatPr defaultRowHeight="14" x14ac:dyDescent="0.3"/>
  <cols>
    <col min="1" max="1" width="15.33203125" customWidth="1"/>
    <col min="4" max="4" width="14.4140625" customWidth="1"/>
    <col min="7" max="7" width="15.08203125" bestFit="1" customWidth="1"/>
    <col min="10" max="10" width="15.08203125" bestFit="1" customWidth="1"/>
    <col min="13" max="13" width="15.08203125" bestFit="1" customWidth="1"/>
  </cols>
  <sheetData>
    <row r="1" spans="1:15" ht="15.5" x14ac:dyDescent="0.3">
      <c r="A1" s="27" t="s">
        <v>0</v>
      </c>
      <c r="B1" s="28">
        <v>90.880419320263371</v>
      </c>
      <c r="C1" s="10"/>
      <c r="D1" s="27" t="s">
        <v>6</v>
      </c>
      <c r="E1" s="28">
        <v>110.45338713471017</v>
      </c>
      <c r="F1" s="10"/>
      <c r="G1" s="27" t="s">
        <v>12</v>
      </c>
      <c r="H1" s="28">
        <v>158.77415142662574</v>
      </c>
      <c r="I1" s="10"/>
      <c r="J1" s="27" t="s">
        <v>18</v>
      </c>
      <c r="K1" s="28">
        <v>145.39419295971871</v>
      </c>
      <c r="L1" s="10"/>
      <c r="M1" s="27" t="s">
        <v>24</v>
      </c>
      <c r="N1" s="28">
        <v>124.71260001515677</v>
      </c>
      <c r="O1" s="10"/>
    </row>
    <row r="2" spans="1:15" ht="15.5" x14ac:dyDescent="0.3">
      <c r="A2" s="27" t="s">
        <v>0</v>
      </c>
      <c r="B2" s="28">
        <v>89.695337284623022</v>
      </c>
      <c r="C2" s="10"/>
      <c r="D2" s="27" t="s">
        <v>6</v>
      </c>
      <c r="E2" s="28">
        <v>109.42121891012022</v>
      </c>
      <c r="F2" s="10"/>
      <c r="G2" s="27" t="s">
        <v>12</v>
      </c>
      <c r="H2" s="28">
        <v>160.6091171592301</v>
      </c>
      <c r="I2" s="10"/>
      <c r="J2" s="27" t="s">
        <v>18</v>
      </c>
      <c r="K2" s="28">
        <v>143.21517115225103</v>
      </c>
      <c r="L2" s="10"/>
      <c r="M2" s="27" t="s">
        <v>24</v>
      </c>
      <c r="N2" s="28">
        <v>125.66831133422156</v>
      </c>
      <c r="O2" s="10"/>
    </row>
    <row r="3" spans="1:15" ht="15.5" x14ac:dyDescent="0.3">
      <c r="A3" s="27" t="s">
        <v>1</v>
      </c>
      <c r="B3" s="28">
        <v>90.912587544853295</v>
      </c>
      <c r="C3" s="29">
        <f>AVERAGE(B1:B4)</f>
        <v>90.190792113493558</v>
      </c>
      <c r="D3" s="27" t="s">
        <v>7</v>
      </c>
      <c r="E3" s="28">
        <v>110.60024071758799</v>
      </c>
      <c r="F3" s="29">
        <f>AVERAGE(E1:E4)</f>
        <v>110.08718671937935</v>
      </c>
      <c r="G3" s="27" t="s">
        <v>13</v>
      </c>
      <c r="H3" s="28">
        <v>159.61517738740272</v>
      </c>
      <c r="I3" s="29">
        <f>AVERAGE(H1:H4)</f>
        <v>160.07391882055381</v>
      </c>
      <c r="J3" s="27" t="s">
        <v>19</v>
      </c>
      <c r="K3" s="28">
        <v>144.51493854617911</v>
      </c>
      <c r="L3" s="29">
        <f>AVERAGE(K1:K4)</f>
        <v>144.26645360322226</v>
      </c>
      <c r="M3" s="27" t="s">
        <v>25</v>
      </c>
      <c r="N3" s="28">
        <v>124.40677239305606</v>
      </c>
      <c r="O3" s="29">
        <f>AVERAGE(N1:N4)</f>
        <v>125.36248371212083</v>
      </c>
    </row>
    <row r="4" spans="1:15" ht="15.5" x14ac:dyDescent="0.3">
      <c r="A4" s="27" t="s">
        <v>2</v>
      </c>
      <c r="B4" s="28">
        <v>89.274824304234528</v>
      </c>
      <c r="C4" s="10"/>
      <c r="D4" s="27" t="s">
        <v>8</v>
      </c>
      <c r="E4" s="28">
        <v>109.873900115099</v>
      </c>
      <c r="F4" s="10"/>
      <c r="G4" s="27" t="s">
        <v>14</v>
      </c>
      <c r="H4" s="28">
        <v>161.29722930895673</v>
      </c>
      <c r="I4" s="10"/>
      <c r="J4" s="27" t="s">
        <v>20</v>
      </c>
      <c r="K4" s="28">
        <v>143.94151175474025</v>
      </c>
      <c r="L4" s="10"/>
      <c r="M4" s="27" t="s">
        <v>26</v>
      </c>
      <c r="N4" s="28">
        <v>126.66225110604893</v>
      </c>
      <c r="O4" s="10"/>
    </row>
    <row r="5" spans="1:15" ht="15.5" x14ac:dyDescent="0.3">
      <c r="A5" s="30" t="s">
        <v>3</v>
      </c>
      <c r="B5" s="31">
        <v>56.327958251053403</v>
      </c>
      <c r="C5" s="8">
        <f>B5/C3</f>
        <v>0.62454222799342851</v>
      </c>
      <c r="D5" s="30" t="s">
        <v>9</v>
      </c>
      <c r="E5" s="31">
        <v>73.448244860521683</v>
      </c>
      <c r="F5" s="8">
        <f>E5/F3</f>
        <v>0.66718250369815402</v>
      </c>
      <c r="G5" s="30" t="s">
        <v>15</v>
      </c>
      <c r="H5" s="31">
        <v>96.844057951227626</v>
      </c>
      <c r="I5" s="8">
        <f>H5/I3</f>
        <v>0.60499585856826443</v>
      </c>
      <c r="J5" s="30" t="s">
        <v>21</v>
      </c>
      <c r="K5" s="31">
        <v>89.236595851471932</v>
      </c>
      <c r="L5" s="8">
        <f>K5/L3</f>
        <v>0.6185540270983606</v>
      </c>
      <c r="M5" s="30" t="s">
        <v>27</v>
      </c>
      <c r="N5" s="31">
        <v>79.526568849773724</v>
      </c>
      <c r="O5" s="8">
        <f>N5/O3</f>
        <v>0.63437295189840437</v>
      </c>
    </row>
    <row r="6" spans="1:15" ht="15.5" x14ac:dyDescent="0.3">
      <c r="A6" s="30" t="s">
        <v>4</v>
      </c>
      <c r="B6" s="31">
        <v>55.595557420391501</v>
      </c>
      <c r="C6" s="8">
        <f>B6/C3</f>
        <v>0.61642165588735065</v>
      </c>
      <c r="D6" s="30" t="s">
        <v>10</v>
      </c>
      <c r="E6" s="31">
        <v>72.619339356089895</v>
      </c>
      <c r="F6" s="8">
        <f>E6/F3</f>
        <v>0.65965296707238186</v>
      </c>
      <c r="G6" s="30" t="s">
        <v>16</v>
      </c>
      <c r="H6" s="31">
        <v>97.685083912004643</v>
      </c>
      <c r="I6" s="8">
        <f>H6/I3</f>
        <v>0.61024984352080269</v>
      </c>
      <c r="J6" s="30" t="s">
        <v>22</v>
      </c>
      <c r="K6" s="31">
        <v>89.962936453961191</v>
      </c>
      <c r="L6" s="8">
        <f>K6/L3</f>
        <v>0.62358874296159883</v>
      </c>
      <c r="M6" s="30" t="s">
        <v>28</v>
      </c>
      <c r="N6" s="31">
        <v>79.947081830162233</v>
      </c>
      <c r="O6" s="8">
        <f>N6/O3</f>
        <v>0.63772732848649238</v>
      </c>
    </row>
    <row r="7" spans="1:15" ht="15.5" x14ac:dyDescent="0.3">
      <c r="A7" s="30" t="s">
        <v>5</v>
      </c>
      <c r="B7" s="31">
        <v>56.933553267082203</v>
      </c>
      <c r="C7" s="8">
        <f>B7/C3</f>
        <v>0.63125682714304832</v>
      </c>
      <c r="D7" s="30" t="s">
        <v>11</v>
      </c>
      <c r="E7" s="31">
        <v>72.951274974607998</v>
      </c>
      <c r="F7" s="8">
        <f>E7/F3</f>
        <v>0.66266817373184739</v>
      </c>
      <c r="G7" s="30" t="s">
        <v>17</v>
      </c>
      <c r="H7" s="31">
        <v>98.679023683832014</v>
      </c>
      <c r="I7" s="8">
        <f>H7/I3</f>
        <v>0.61645909846471147</v>
      </c>
      <c r="J7" s="30" t="s">
        <v>23</v>
      </c>
      <c r="K7" s="31">
        <v>92.065501355903706</v>
      </c>
      <c r="L7" s="8">
        <f>K7/L3</f>
        <v>0.63816292046044565</v>
      </c>
      <c r="M7" s="30" t="s">
        <v>29</v>
      </c>
      <c r="N7" s="31">
        <v>80.673422432651464</v>
      </c>
      <c r="O7" s="8">
        <f>N7/O3</f>
        <v>0.6435212516840989</v>
      </c>
    </row>
    <row r="8" spans="1:15" ht="15.5" x14ac:dyDescent="0.3">
      <c r="A8" s="30" t="s">
        <v>3</v>
      </c>
      <c r="B8" s="31">
        <v>57.659893869571434</v>
      </c>
      <c r="C8" s="8">
        <f>B8/C3</f>
        <v>0.63931020582471265</v>
      </c>
      <c r="D8" s="30" t="s">
        <v>9</v>
      </c>
      <c r="E8" s="31">
        <v>71.88087829725545</v>
      </c>
      <c r="F8" s="8">
        <f>E8/F3</f>
        <v>0.65294500149672552</v>
      </c>
      <c r="G8" s="30" t="s">
        <v>15</v>
      </c>
      <c r="H8" s="31">
        <v>99.367135833558677</v>
      </c>
      <c r="I8" s="8">
        <f>H8/I3</f>
        <v>0.62075781342587921</v>
      </c>
      <c r="J8" s="30" t="s">
        <v>21</v>
      </c>
      <c r="K8" s="31">
        <v>91.415617658939652</v>
      </c>
      <c r="L8" s="8">
        <f>K8/L3</f>
        <v>0.63365817468807484</v>
      </c>
      <c r="M8" s="30" t="s">
        <v>27</v>
      </c>
      <c r="N8" s="31">
        <v>78.150344550320426</v>
      </c>
      <c r="O8" s="8">
        <f>N8/O3</f>
        <v>0.6233949921555707</v>
      </c>
    </row>
    <row r="9" spans="1:15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15.5" x14ac:dyDescent="0.3">
      <c r="A10" s="27" t="s">
        <v>30</v>
      </c>
      <c r="B10" s="28">
        <v>98.646855459242104</v>
      </c>
      <c r="C10" s="10"/>
      <c r="D10" s="27" t="s">
        <v>36</v>
      </c>
      <c r="E10" s="28">
        <v>118.48136221485439</v>
      </c>
      <c r="F10" s="10"/>
      <c r="G10" s="27" t="s">
        <v>42</v>
      </c>
      <c r="H10" s="28">
        <v>165.5405875656044</v>
      </c>
      <c r="I10" s="10"/>
      <c r="J10" s="27" t="s">
        <v>49</v>
      </c>
      <c r="K10" s="28">
        <v>147.68790012547419</v>
      </c>
      <c r="L10" s="10"/>
      <c r="M10" s="27" t="s">
        <v>54</v>
      </c>
      <c r="N10" s="28">
        <v>137.59558859615009</v>
      </c>
      <c r="O10" s="10"/>
    </row>
    <row r="11" spans="1:15" ht="15.5" x14ac:dyDescent="0.3">
      <c r="A11" s="27" t="s">
        <v>30</v>
      </c>
      <c r="B11" s="28">
        <v>98.908394400407559</v>
      </c>
      <c r="C11" s="10"/>
      <c r="D11" s="27" t="s">
        <v>36</v>
      </c>
      <c r="E11" s="28">
        <v>118.417025765674</v>
      </c>
      <c r="F11" s="10"/>
      <c r="G11" s="27" t="s">
        <v>42</v>
      </c>
      <c r="H11" s="28">
        <v>167.3373248454462</v>
      </c>
      <c r="I11" s="10"/>
      <c r="J11" s="27" t="s">
        <v>48</v>
      </c>
      <c r="K11" s="28">
        <v>152.08417219317224</v>
      </c>
      <c r="L11" s="10"/>
      <c r="M11" s="27" t="s">
        <v>55</v>
      </c>
      <c r="N11" s="28">
        <v>137.17507561576159</v>
      </c>
      <c r="O11" s="10"/>
    </row>
    <row r="12" spans="1:15" ht="15.5" x14ac:dyDescent="0.3">
      <c r="A12" s="27" t="s">
        <v>31</v>
      </c>
      <c r="B12" s="28">
        <v>99.711191908421995</v>
      </c>
      <c r="C12" s="29">
        <f>AVERAGE(B10:B13)</f>
        <v>98.843009665116199</v>
      </c>
      <c r="D12" s="27" t="s">
        <v>37</v>
      </c>
      <c r="E12" s="28">
        <v>117.10513791540109</v>
      </c>
      <c r="F12" s="29">
        <f>AVERAGE(E10:E13)</f>
        <v>117.74045255711312</v>
      </c>
      <c r="G12" s="27" t="s">
        <v>43</v>
      </c>
      <c r="H12" s="28">
        <v>162.21471217525897</v>
      </c>
      <c r="I12" s="29">
        <f>AVERAGE(H10:H13)</f>
        <v>165.07228901926266</v>
      </c>
      <c r="J12" s="27" t="s">
        <v>48</v>
      </c>
      <c r="K12" s="28">
        <v>147.07624488127277</v>
      </c>
      <c r="L12" s="29">
        <f>AVERAGE(K10:K13)</f>
        <v>149.20748112278721</v>
      </c>
      <c r="M12" s="27" t="s">
        <v>54</v>
      </c>
      <c r="N12" s="28">
        <v>135.98999358012125</v>
      </c>
      <c r="O12" s="29">
        <f>AVERAGE(N10:N13)</f>
        <v>136.36272099455653</v>
      </c>
    </row>
    <row r="13" spans="1:15" ht="15.5" x14ac:dyDescent="0.3">
      <c r="A13" s="27" t="s">
        <v>32</v>
      </c>
      <c r="B13" s="28">
        <v>98.105596892393137</v>
      </c>
      <c r="C13" s="10"/>
      <c r="D13" s="27" t="s">
        <v>38</v>
      </c>
      <c r="E13" s="28">
        <v>116.95828433252299</v>
      </c>
      <c r="F13" s="10"/>
      <c r="G13" s="27" t="s">
        <v>44</v>
      </c>
      <c r="H13" s="28">
        <v>165.19653149074111</v>
      </c>
      <c r="I13" s="10"/>
      <c r="J13" s="27" t="s">
        <v>49</v>
      </c>
      <c r="K13" s="28">
        <v>149.98160729122969</v>
      </c>
      <c r="L13" s="10"/>
      <c r="M13" s="27" t="s">
        <v>56</v>
      </c>
      <c r="N13" s="28">
        <v>134.69022618619312</v>
      </c>
      <c r="O13" s="10"/>
    </row>
    <row r="14" spans="1:15" ht="15.5" x14ac:dyDescent="0.3">
      <c r="A14" s="30" t="s">
        <v>33</v>
      </c>
      <c r="B14" s="31">
        <v>64.020502386449394</v>
      </c>
      <c r="C14" s="8">
        <f>B14/C12</f>
        <v>0.64769883680548823</v>
      </c>
      <c r="D14" s="30" t="s">
        <v>39</v>
      </c>
      <c r="E14" s="31">
        <v>78.379715266895985</v>
      </c>
      <c r="F14" s="8">
        <f>E14/F12</f>
        <v>0.66569911669802551</v>
      </c>
      <c r="G14" s="30" t="s">
        <v>45</v>
      </c>
      <c r="H14" s="31">
        <v>102.96667062141501</v>
      </c>
      <c r="I14" s="8">
        <f>H14/I12</f>
        <v>0.62376714609803219</v>
      </c>
      <c r="J14" s="30" t="s">
        <v>51</v>
      </c>
      <c r="K14" s="31">
        <v>93.441725655357004</v>
      </c>
      <c r="L14" s="8">
        <f>K14/L12</f>
        <v>0.6262536231575484</v>
      </c>
      <c r="M14" s="30" t="s">
        <v>58</v>
      </c>
      <c r="N14" s="31">
        <v>89.12191049318416</v>
      </c>
      <c r="O14" s="8">
        <f>N14/O12</f>
        <v>0.65356506414052729</v>
      </c>
    </row>
    <row r="15" spans="1:15" ht="15.5" x14ac:dyDescent="0.3">
      <c r="A15" s="30" t="s">
        <v>34</v>
      </c>
      <c r="B15" s="31">
        <v>63.037985252751596</v>
      </c>
      <c r="C15" s="8">
        <f>B15/C12</f>
        <v>0.63775865856702096</v>
      </c>
      <c r="D15" s="30" t="s">
        <v>40</v>
      </c>
      <c r="E15" s="31">
        <v>78.532629077946353</v>
      </c>
      <c r="F15" s="8">
        <f>E15/F12</f>
        <v>0.66699785309430526</v>
      </c>
      <c r="G15" s="30" t="s">
        <v>46</v>
      </c>
      <c r="H15" s="31">
        <v>102.393243829976</v>
      </c>
      <c r="I15" s="8">
        <f>H15/I12</f>
        <v>0.62029335413182218</v>
      </c>
      <c r="J15" s="30" t="s">
        <v>52</v>
      </c>
      <c r="K15" s="31">
        <v>98.706998763976003</v>
      </c>
      <c r="L15" s="8">
        <f>K15/L12</f>
        <v>0.66154188798849245</v>
      </c>
      <c r="M15" s="30" t="s">
        <v>59</v>
      </c>
      <c r="N15" s="31">
        <v>91.492074564464843</v>
      </c>
      <c r="O15" s="8">
        <f>N15/O12</f>
        <v>0.67094638400561923</v>
      </c>
    </row>
    <row r="16" spans="1:15" ht="15.5" x14ac:dyDescent="0.3">
      <c r="A16" s="30" t="s">
        <v>35</v>
      </c>
      <c r="B16" s="31">
        <v>62.897191898046458</v>
      </c>
      <c r="C16" s="8">
        <f>B16/C12</f>
        <v>0.63633424468907296</v>
      </c>
      <c r="D16" s="30" t="s">
        <v>41</v>
      </c>
      <c r="E16" s="31">
        <v>79.450111944248533</v>
      </c>
      <c r="F16" s="8">
        <f>E16/F12</f>
        <v>0.67479027147198334</v>
      </c>
      <c r="G16" s="30" t="s">
        <v>47</v>
      </c>
      <c r="H16" s="31">
        <v>103.18998110981779</v>
      </c>
      <c r="I16" s="8">
        <f>H16/I12</f>
        <v>0.6251199503132614</v>
      </c>
      <c r="J16" s="30" t="s">
        <v>53</v>
      </c>
      <c r="K16" s="31">
        <v>99.099536664220523</v>
      </c>
      <c r="L16" s="8">
        <f>K16/L12</f>
        <v>0.6641727071491047</v>
      </c>
      <c r="M16" s="30" t="s">
        <v>57</v>
      </c>
      <c r="N16" s="31">
        <v>89.771794190148228</v>
      </c>
      <c r="O16" s="8">
        <f>N16/O12</f>
        <v>0.65833090990998799</v>
      </c>
    </row>
    <row r="17" spans="1:15" ht="15.5" x14ac:dyDescent="0.3">
      <c r="A17" s="30" t="s">
        <v>33</v>
      </c>
      <c r="B17" s="31">
        <v>63.649640496952998</v>
      </c>
      <c r="C17" s="8">
        <f>B17/C12</f>
        <v>0.64394680729168763</v>
      </c>
      <c r="D17" s="30" t="s">
        <v>39</v>
      </c>
      <c r="E17" s="31">
        <v>80.711650885414059</v>
      </c>
      <c r="F17" s="8">
        <f>E17/F12</f>
        <v>0.68550484674129086</v>
      </c>
      <c r="G17" s="30" t="s">
        <v>45</v>
      </c>
      <c r="H17" s="31">
        <v>104.79557612584665</v>
      </c>
      <c r="I17" s="8">
        <f>H17/I12</f>
        <v>0.63484656781864712</v>
      </c>
      <c r="J17" s="30" t="s">
        <v>52</v>
      </c>
      <c r="K17" s="31">
        <v>96.385316518076536</v>
      </c>
      <c r="L17" s="8">
        <f>K17/L12</f>
        <v>0.64598179523423649</v>
      </c>
      <c r="M17" s="30" t="s">
        <v>58</v>
      </c>
      <c r="N17" s="31">
        <v>91.033333131313725</v>
      </c>
      <c r="O17" s="8">
        <f>N17/O12</f>
        <v>0.66758225758011747</v>
      </c>
    </row>
    <row r="20" spans="1:15" ht="16.5" x14ac:dyDescent="0.3">
      <c r="A20" s="5" t="s">
        <v>60</v>
      </c>
    </row>
    <row r="21" spans="1:15" ht="16.5" x14ac:dyDescent="0.3">
      <c r="A21" s="2" t="s">
        <v>62</v>
      </c>
      <c r="B21">
        <v>0.62454222799342851</v>
      </c>
      <c r="D21" s="2" t="s">
        <v>63</v>
      </c>
      <c r="E21">
        <v>0.66718250369815402</v>
      </c>
      <c r="G21" s="2" t="s">
        <v>64</v>
      </c>
      <c r="H21">
        <v>0.60499585856826443</v>
      </c>
      <c r="J21" s="2" t="s">
        <v>65</v>
      </c>
      <c r="K21">
        <v>0.6185540270983606</v>
      </c>
      <c r="M21" s="2" t="s">
        <v>66</v>
      </c>
      <c r="N21">
        <v>0.63437295189840437</v>
      </c>
    </row>
    <row r="22" spans="1:15" ht="16.5" x14ac:dyDescent="0.3">
      <c r="A22" s="2" t="s">
        <v>67</v>
      </c>
      <c r="B22">
        <v>0.61642165588735065</v>
      </c>
      <c r="D22" s="2" t="s">
        <v>68</v>
      </c>
      <c r="E22">
        <v>0.65965296707238186</v>
      </c>
      <c r="G22" s="2" t="s">
        <v>69</v>
      </c>
      <c r="H22">
        <v>0.61024984352080269</v>
      </c>
      <c r="J22" s="2" t="s">
        <v>70</v>
      </c>
      <c r="K22">
        <v>0.62358874296159883</v>
      </c>
      <c r="M22" s="2" t="s">
        <v>71</v>
      </c>
      <c r="N22">
        <v>0.63772732848649238</v>
      </c>
    </row>
    <row r="23" spans="1:15" ht="16.5" x14ac:dyDescent="0.3">
      <c r="A23" s="2" t="s">
        <v>72</v>
      </c>
      <c r="B23">
        <v>0.63125682714304832</v>
      </c>
      <c r="C23">
        <f>AVERAGE(B21:B24)</f>
        <v>0.62788272921213495</v>
      </c>
      <c r="D23" s="2" t="s">
        <v>73</v>
      </c>
      <c r="E23">
        <v>0.66266817373184739</v>
      </c>
      <c r="F23">
        <f>AVERAGE(E21:E24)</f>
        <v>0.6606121614997772</v>
      </c>
      <c r="G23" s="2" t="s">
        <v>74</v>
      </c>
      <c r="H23">
        <v>0.61645909846471147</v>
      </c>
      <c r="I23">
        <f>AVERAGE(H21:H24)</f>
        <v>0.61311565349491448</v>
      </c>
      <c r="J23" s="2" t="s">
        <v>75</v>
      </c>
      <c r="K23">
        <v>0.63816292046044565</v>
      </c>
      <c r="L23">
        <f>AVERAGE(K21:K24)</f>
        <v>0.62849096630211998</v>
      </c>
      <c r="M23" s="2" t="s">
        <v>76</v>
      </c>
      <c r="N23">
        <v>0.6435212516840989</v>
      </c>
      <c r="O23">
        <f>AVERAGE(N21:N24)</f>
        <v>0.63475413105614154</v>
      </c>
    </row>
    <row r="24" spans="1:15" ht="16.5" x14ac:dyDescent="0.3">
      <c r="A24" s="2" t="s">
        <v>61</v>
      </c>
      <c r="B24">
        <v>0.63931020582471265</v>
      </c>
      <c r="C24">
        <f>_xlfn.STDEV.P(B21:B24)</f>
        <v>8.4333698591764848E-3</v>
      </c>
      <c r="D24" s="2" t="s">
        <v>63</v>
      </c>
      <c r="E24">
        <v>0.65294500149672552</v>
      </c>
      <c r="F24">
        <f>_xlfn.STDEV.P(E21:E24)</f>
        <v>5.1745043087269502E-3</v>
      </c>
      <c r="G24" s="2" t="s">
        <v>64</v>
      </c>
      <c r="H24">
        <v>0.62075781342587921</v>
      </c>
      <c r="I24">
        <f>_xlfn.STDEV.P(H21:H24)</f>
        <v>5.9942716224549372E-3</v>
      </c>
      <c r="J24" s="2" t="s">
        <v>65</v>
      </c>
      <c r="K24">
        <v>0.63365817468807484</v>
      </c>
      <c r="L24">
        <f>_xlfn.STDEV.P(K21:K24)</f>
        <v>7.7945701318962385E-3</v>
      </c>
      <c r="M24" s="2" t="s">
        <v>66</v>
      </c>
      <c r="N24">
        <v>0.6233949921555707</v>
      </c>
      <c r="O24">
        <f>_xlfn.STDEV.P(N21:N24)</f>
        <v>7.3293526517993939E-3</v>
      </c>
    </row>
    <row r="27" spans="1:15" ht="16.5" x14ac:dyDescent="0.3">
      <c r="A27" s="2" t="s">
        <v>77</v>
      </c>
      <c r="B27">
        <v>0.64769883680548823</v>
      </c>
      <c r="D27" s="2" t="s">
        <v>78</v>
      </c>
      <c r="E27">
        <v>0.66569911669802551</v>
      </c>
      <c r="G27" s="2" t="s">
        <v>79</v>
      </c>
      <c r="H27">
        <v>0.62376714609803219</v>
      </c>
      <c r="J27" s="2" t="s">
        <v>80</v>
      </c>
      <c r="K27">
        <v>0.6262536231575484</v>
      </c>
      <c r="M27" s="2" t="s">
        <v>81</v>
      </c>
      <c r="N27">
        <v>0.65356506414052729</v>
      </c>
    </row>
    <row r="28" spans="1:15" ht="16.5" x14ac:dyDescent="0.3">
      <c r="A28" s="2" t="s">
        <v>82</v>
      </c>
      <c r="B28">
        <v>0.63775865856702096</v>
      </c>
      <c r="D28" s="2" t="s">
        <v>83</v>
      </c>
      <c r="E28">
        <v>0.66699785309430526</v>
      </c>
      <c r="G28" s="2" t="s">
        <v>84</v>
      </c>
      <c r="H28">
        <v>0.62029335413182218</v>
      </c>
      <c r="J28" s="2" t="s">
        <v>85</v>
      </c>
      <c r="K28">
        <v>0.66154188798849245</v>
      </c>
      <c r="M28" s="2" t="s">
        <v>86</v>
      </c>
      <c r="N28">
        <v>0.67094638400561923</v>
      </c>
    </row>
    <row r="29" spans="1:15" ht="16.5" x14ac:dyDescent="0.3">
      <c r="A29" s="2" t="s">
        <v>87</v>
      </c>
      <c r="B29">
        <v>0.63633424468907296</v>
      </c>
      <c r="C29">
        <f>AVERAGE(B27:B30)</f>
        <v>0.64143463683831747</v>
      </c>
      <c r="D29" s="2" t="s">
        <v>88</v>
      </c>
      <c r="E29">
        <v>0.67479027147198334</v>
      </c>
      <c r="F29">
        <f>AVERAGE(E27:E30)</f>
        <v>0.67324802200140121</v>
      </c>
      <c r="G29" s="2" t="s">
        <v>89</v>
      </c>
      <c r="H29">
        <v>0.6251199503132614</v>
      </c>
      <c r="I29">
        <f>AVERAGE(H27:H30)</f>
        <v>0.62600675459044075</v>
      </c>
      <c r="J29" s="2" t="s">
        <v>80</v>
      </c>
      <c r="K29">
        <v>0.6641727071491047</v>
      </c>
      <c r="L29">
        <f>AVERAGE(K27:K30)</f>
        <v>0.64948750338234551</v>
      </c>
      <c r="M29" s="2" t="s">
        <v>90</v>
      </c>
      <c r="N29">
        <v>0.65833090990998799</v>
      </c>
      <c r="O29">
        <f>AVERAGE(N27:N30)</f>
        <v>0.66260615390906308</v>
      </c>
    </row>
    <row r="30" spans="1:15" ht="16.5" x14ac:dyDescent="0.3">
      <c r="A30" s="2" t="s">
        <v>77</v>
      </c>
      <c r="B30">
        <v>0.64394680729168763</v>
      </c>
      <c r="C30">
        <f>_xlfn.STDEV.P(B27:B30)</f>
        <v>4.6118873019244328E-3</v>
      </c>
      <c r="D30" s="2" t="s">
        <v>78</v>
      </c>
      <c r="E30">
        <v>0.68550484674129086</v>
      </c>
      <c r="F30">
        <f>_xlfn.STDEV.P(E27:E30)</f>
        <v>7.884460488524956E-3</v>
      </c>
      <c r="G30" s="2" t="s">
        <v>79</v>
      </c>
      <c r="H30">
        <v>0.63484656781864712</v>
      </c>
      <c r="I30">
        <f>_xlfn.STDEV.P(H27:H30)</f>
        <v>5.3987848340021705E-3</v>
      </c>
      <c r="J30" s="2" t="s">
        <v>91</v>
      </c>
      <c r="K30">
        <v>0.64598179523423649</v>
      </c>
      <c r="L30">
        <f>_xlfn.STDEV.P(K27:K30)</f>
        <v>1.5108495770791404E-2</v>
      </c>
      <c r="M30" s="2" t="s">
        <v>81</v>
      </c>
      <c r="N30">
        <v>0.66758225758011747</v>
      </c>
      <c r="O30">
        <f>_xlfn.STDEV.P(N27:N30)</f>
        <v>6.9702952100849395E-3</v>
      </c>
    </row>
    <row r="32" spans="1:15" ht="16.5" x14ac:dyDescent="0.3">
      <c r="A32" s="5" t="s">
        <v>92</v>
      </c>
      <c r="B32" s="6"/>
      <c r="C32" s="6"/>
      <c r="D32" s="5" t="s">
        <v>92</v>
      </c>
      <c r="E32" s="6"/>
      <c r="F32" s="6"/>
      <c r="G32" s="6" t="s">
        <v>94</v>
      </c>
      <c r="H32" s="6"/>
      <c r="I32" s="6"/>
      <c r="J32" s="6" t="s">
        <v>92</v>
      </c>
      <c r="K32" s="6"/>
      <c r="L32" s="6"/>
      <c r="M32" s="6" t="s">
        <v>93</v>
      </c>
      <c r="N32" s="6"/>
    </row>
    <row r="35" spans="1:12" x14ac:dyDescent="0.3">
      <c r="A35" s="7" t="s">
        <v>105</v>
      </c>
      <c r="B35" s="7" t="s">
        <v>96</v>
      </c>
      <c r="C35" s="7" t="s">
        <v>97</v>
      </c>
      <c r="D35" s="7" t="s">
        <v>106</v>
      </c>
      <c r="E35" s="7" t="s">
        <v>98</v>
      </c>
      <c r="F35" s="7" t="s">
        <v>107</v>
      </c>
    </row>
    <row r="36" spans="1:12" x14ac:dyDescent="0.3">
      <c r="A36" s="7" t="s">
        <v>108</v>
      </c>
      <c r="B36" s="7">
        <v>0.62790000000000001</v>
      </c>
      <c r="C36" s="7">
        <v>0.64139999999999997</v>
      </c>
      <c r="D36" s="7" t="s">
        <v>109</v>
      </c>
      <c r="E36" s="7">
        <v>0.05</v>
      </c>
      <c r="F36" s="7" t="s">
        <v>110</v>
      </c>
    </row>
    <row r="37" spans="1:12" x14ac:dyDescent="0.3">
      <c r="A37" s="7" t="s">
        <v>99</v>
      </c>
      <c r="B37" s="7">
        <v>0.66059999999999997</v>
      </c>
      <c r="C37" s="7">
        <v>0.67320000000000002</v>
      </c>
      <c r="D37" s="7" t="s">
        <v>111</v>
      </c>
      <c r="E37" s="7">
        <v>5.8999999999999997E-2</v>
      </c>
      <c r="F37" s="7" t="s">
        <v>112</v>
      </c>
    </row>
    <row r="38" spans="1:12" x14ac:dyDescent="0.3">
      <c r="A38" s="7" t="s">
        <v>101</v>
      </c>
      <c r="B38" s="7">
        <v>0.61309999999999998</v>
      </c>
      <c r="C38" s="7">
        <v>0.626</v>
      </c>
      <c r="D38" s="7" t="s">
        <v>113</v>
      </c>
      <c r="E38" s="7">
        <v>3.3000000000000002E-2</v>
      </c>
      <c r="F38" s="7" t="s">
        <v>114</v>
      </c>
    </row>
    <row r="39" spans="1:12" x14ac:dyDescent="0.3">
      <c r="A39" s="7" t="s">
        <v>102</v>
      </c>
      <c r="B39" s="7">
        <v>0.62849999999999995</v>
      </c>
      <c r="C39" s="7">
        <v>0.64949999999999997</v>
      </c>
      <c r="D39" s="7" t="s">
        <v>115</v>
      </c>
      <c r="E39" s="7">
        <v>7.5999999999999998E-2</v>
      </c>
      <c r="F39" s="7" t="s">
        <v>112</v>
      </c>
    </row>
    <row r="40" spans="1:12" x14ac:dyDescent="0.3">
      <c r="A40" s="7" t="s">
        <v>103</v>
      </c>
      <c r="B40" s="7">
        <v>0.63480000000000003</v>
      </c>
      <c r="C40" s="7">
        <v>0.66259999999999997</v>
      </c>
      <c r="D40" s="7" t="s">
        <v>116</v>
      </c>
      <c r="E40" s="7">
        <v>3.0000000000000001E-3</v>
      </c>
      <c r="F40" s="7" t="s">
        <v>117</v>
      </c>
    </row>
    <row r="43" spans="1:12" x14ac:dyDescent="0.3">
      <c r="B43" t="s">
        <v>216</v>
      </c>
      <c r="C43" t="s">
        <v>217</v>
      </c>
      <c r="K43" t="s">
        <v>218</v>
      </c>
      <c r="L43" t="s">
        <v>219</v>
      </c>
    </row>
    <row r="44" spans="1:12" x14ac:dyDescent="0.3">
      <c r="A44" t="s">
        <v>104</v>
      </c>
      <c r="B44">
        <v>0.62788272921213495</v>
      </c>
      <c r="C44">
        <v>8.4333698591764848E-3</v>
      </c>
      <c r="J44" t="s">
        <v>104</v>
      </c>
      <c r="K44">
        <v>0.64143463683831747</v>
      </c>
      <c r="L44">
        <v>4.6118873019244328E-3</v>
      </c>
    </row>
    <row r="45" spans="1:12" x14ac:dyDescent="0.3">
      <c r="A45" t="s">
        <v>220</v>
      </c>
      <c r="B45">
        <v>0.6606121614997772</v>
      </c>
      <c r="C45">
        <v>5.1745043087269502E-3</v>
      </c>
      <c r="J45" t="s">
        <v>220</v>
      </c>
      <c r="K45">
        <v>0.67324802200140121</v>
      </c>
      <c r="L45">
        <v>7.884460488524956E-3</v>
      </c>
    </row>
    <row r="46" spans="1:12" x14ac:dyDescent="0.3">
      <c r="A46" t="s">
        <v>221</v>
      </c>
      <c r="B46">
        <v>0.61311565349491448</v>
      </c>
      <c r="C46">
        <v>5.9942716224549372E-3</v>
      </c>
      <c r="J46" t="s">
        <v>221</v>
      </c>
      <c r="K46">
        <v>0.62600675459044075</v>
      </c>
      <c r="L46">
        <v>5.3987848340021705E-3</v>
      </c>
    </row>
    <row r="47" spans="1:12" x14ac:dyDescent="0.3">
      <c r="A47" t="s">
        <v>222</v>
      </c>
      <c r="B47">
        <v>0.62849096630211998</v>
      </c>
      <c r="C47">
        <v>7.7945701318962385E-3</v>
      </c>
      <c r="J47" t="s">
        <v>222</v>
      </c>
      <c r="K47">
        <v>0.64948750338234551</v>
      </c>
      <c r="L47">
        <v>1.5108495770791404E-2</v>
      </c>
    </row>
    <row r="48" spans="1:12" x14ac:dyDescent="0.3">
      <c r="A48" t="s">
        <v>223</v>
      </c>
      <c r="B48">
        <v>0.63475413105614154</v>
      </c>
      <c r="C48">
        <v>7.3293526517993939E-3</v>
      </c>
      <c r="J48" t="s">
        <v>223</v>
      </c>
      <c r="K48">
        <v>0.66260615390906308</v>
      </c>
      <c r="L48">
        <v>6.9702952100849395E-3</v>
      </c>
    </row>
    <row r="52" spans="1:12" x14ac:dyDescent="0.3">
      <c r="B52" t="s">
        <v>216</v>
      </c>
      <c r="C52" t="s">
        <v>218</v>
      </c>
    </row>
    <row r="53" spans="1:12" x14ac:dyDescent="0.3">
      <c r="A53" t="s">
        <v>104</v>
      </c>
      <c r="B53">
        <v>0.62788272921213495</v>
      </c>
      <c r="C53">
        <v>0.64143463683831747</v>
      </c>
    </row>
    <row r="54" spans="1:12" x14ac:dyDescent="0.3">
      <c r="A54" t="s">
        <v>220</v>
      </c>
      <c r="B54">
        <v>0.6606121614997772</v>
      </c>
      <c r="C54">
        <v>0.67324802200140121</v>
      </c>
    </row>
    <row r="55" spans="1:12" x14ac:dyDescent="0.3">
      <c r="A55" t="s">
        <v>221</v>
      </c>
      <c r="B55">
        <v>0.61311565349491448</v>
      </c>
      <c r="C55">
        <v>0.62600675459044075</v>
      </c>
      <c r="L55" t="s">
        <v>264</v>
      </c>
    </row>
    <row r="56" spans="1:12" x14ac:dyDescent="0.3">
      <c r="A56" t="s">
        <v>222</v>
      </c>
      <c r="B56">
        <v>0.62849096630211998</v>
      </c>
      <c r="C56">
        <v>0.64948750338234551</v>
      </c>
    </row>
    <row r="57" spans="1:12" x14ac:dyDescent="0.3">
      <c r="A57" t="s">
        <v>223</v>
      </c>
      <c r="B57">
        <v>0.63475413105614154</v>
      </c>
      <c r="C57">
        <v>0.66260615390906308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87D1-CF9D-4834-962A-6D26E070C4A7}">
  <dimension ref="A1:O57"/>
  <sheetViews>
    <sheetView topLeftCell="A42" workbookViewId="0">
      <selection activeCell="K60" sqref="K60"/>
    </sheetView>
  </sheetViews>
  <sheetFormatPr defaultRowHeight="14" x14ac:dyDescent="0.3"/>
  <cols>
    <col min="1" max="1" width="15.9140625" customWidth="1"/>
    <col min="2" max="2" width="17.83203125" customWidth="1"/>
    <col min="4" max="4" width="14.9140625" bestFit="1" customWidth="1"/>
    <col min="6" max="6" width="13.75" customWidth="1"/>
    <col min="7" max="7" width="15.1640625" customWidth="1"/>
    <col min="9" max="9" width="10.25" customWidth="1"/>
    <col min="10" max="10" width="14.58203125" customWidth="1"/>
    <col min="13" max="13" width="14.9140625" bestFit="1" customWidth="1"/>
  </cols>
  <sheetData>
    <row r="1" spans="1:15" ht="16.5" x14ac:dyDescent="0.3">
      <c r="A1" s="1" t="s">
        <v>1</v>
      </c>
      <c r="B1" s="1">
        <v>10.24635</v>
      </c>
      <c r="C1" s="1"/>
      <c r="D1" s="1" t="s">
        <v>6</v>
      </c>
      <c r="E1" s="1">
        <v>17.2334</v>
      </c>
      <c r="F1" s="1"/>
      <c r="G1" s="1" t="s">
        <v>12</v>
      </c>
      <c r="H1" s="1">
        <v>19.751999999999999</v>
      </c>
      <c r="I1" s="1"/>
      <c r="J1" s="1" t="s">
        <v>18</v>
      </c>
      <c r="K1" s="1">
        <v>25.7084625</v>
      </c>
      <c r="L1" s="1"/>
      <c r="M1" s="1" t="s">
        <v>24</v>
      </c>
      <c r="N1" s="1">
        <v>25.06035</v>
      </c>
      <c r="O1" s="10"/>
    </row>
    <row r="2" spans="1:15" ht="16.5" x14ac:dyDescent="0.3">
      <c r="A2" s="1" t="s">
        <v>1</v>
      </c>
      <c r="B2" s="1">
        <v>11.23395</v>
      </c>
      <c r="C2" s="1"/>
      <c r="D2" s="1" t="s">
        <v>7</v>
      </c>
      <c r="E2" s="1">
        <v>16.060625000000002</v>
      </c>
      <c r="F2" s="1"/>
      <c r="G2" s="1" t="s">
        <v>13</v>
      </c>
      <c r="H2" s="1">
        <v>17.65335</v>
      </c>
      <c r="I2" s="1"/>
      <c r="J2" s="1" t="s">
        <v>19</v>
      </c>
      <c r="K2" s="1">
        <v>21.387712499999999</v>
      </c>
      <c r="L2" s="1"/>
      <c r="M2" s="1" t="s">
        <v>25</v>
      </c>
      <c r="N2" s="1">
        <v>26.078812500000002</v>
      </c>
      <c r="O2" s="10"/>
    </row>
    <row r="3" spans="1:15" ht="16.5" x14ac:dyDescent="0.3">
      <c r="A3" s="1" t="s">
        <v>2</v>
      </c>
      <c r="B3" s="1">
        <v>10.49325</v>
      </c>
      <c r="C3" s="1">
        <f>AVERAGE(B1:B4)</f>
        <v>10.840453125</v>
      </c>
      <c r="D3" s="1" t="s">
        <v>7</v>
      </c>
      <c r="E3" s="1">
        <v>16.801324999999999</v>
      </c>
      <c r="F3" s="1">
        <f>AVERAGE(E1:E4)</f>
        <v>17.12538125</v>
      </c>
      <c r="G3" s="1" t="s">
        <v>14</v>
      </c>
      <c r="H3" s="1">
        <v>19.9741</v>
      </c>
      <c r="I3" s="1">
        <f>AVERAGE(H1:H4)</f>
        <v>19.128550000000001</v>
      </c>
      <c r="J3" s="1" t="s">
        <v>19</v>
      </c>
      <c r="K3" s="1">
        <v>22.560487500000001</v>
      </c>
      <c r="L3" s="1">
        <f>AVERAGE(K1:K4)</f>
        <v>25.044918750000001</v>
      </c>
      <c r="M3" s="1" t="s">
        <v>25</v>
      </c>
      <c r="N3" s="1">
        <v>27.560212499999999</v>
      </c>
      <c r="O3" s="11">
        <f>AVERAGE(N1:N4)</f>
        <v>26.263987499999999</v>
      </c>
    </row>
    <row r="4" spans="1:15" ht="16.5" x14ac:dyDescent="0.3">
      <c r="A4" s="1" t="s">
        <v>2</v>
      </c>
      <c r="B4" s="1">
        <v>11.3882625</v>
      </c>
      <c r="C4" s="1"/>
      <c r="D4" s="1" t="s">
        <v>8</v>
      </c>
      <c r="E4" s="1">
        <v>18.406175000000001</v>
      </c>
      <c r="F4" s="1"/>
      <c r="G4" s="1" t="s">
        <v>14</v>
      </c>
      <c r="H4" s="1">
        <v>19.13475</v>
      </c>
      <c r="I4" s="1"/>
      <c r="J4" s="1" t="s">
        <v>20</v>
      </c>
      <c r="K4" s="1">
        <v>30.5230125</v>
      </c>
      <c r="L4" s="1"/>
      <c r="M4" s="1" t="s">
        <v>26</v>
      </c>
      <c r="N4" s="1">
        <v>26.356574999999999</v>
      </c>
      <c r="O4" s="10"/>
    </row>
    <row r="5" spans="1:15" ht="16.5" x14ac:dyDescent="0.3">
      <c r="A5" s="2" t="s">
        <v>3</v>
      </c>
      <c r="B5" s="2">
        <v>17.221274999999999</v>
      </c>
      <c r="C5" s="2">
        <f>B5/C3</f>
        <v>1.588612099644128</v>
      </c>
      <c r="D5" s="2" t="s">
        <v>9</v>
      </c>
      <c r="E5" s="2">
        <v>16.449987499999999</v>
      </c>
      <c r="F5" s="2">
        <f>E5/F3</f>
        <v>0.960561826908233</v>
      </c>
      <c r="G5" s="2" t="s">
        <v>15</v>
      </c>
      <c r="H5" s="2">
        <v>24.597412500000001</v>
      </c>
      <c r="I5" s="2">
        <f>H5/I3</f>
        <v>1.2859005256540617</v>
      </c>
      <c r="J5" s="2" t="s">
        <v>21</v>
      </c>
      <c r="K5" s="2">
        <v>28.578675</v>
      </c>
      <c r="L5" s="2">
        <f>K5/L3</f>
        <v>1.1410967344423906</v>
      </c>
      <c r="M5" s="2" t="s">
        <v>27</v>
      </c>
      <c r="N5" s="2">
        <v>32.837699999999998</v>
      </c>
      <c r="O5" s="2">
        <f>N5/O3</f>
        <v>1.2502937720329024</v>
      </c>
    </row>
    <row r="6" spans="1:15" ht="16.5" x14ac:dyDescent="0.3">
      <c r="A6" s="2" t="s">
        <v>4</v>
      </c>
      <c r="B6" s="2">
        <v>18.702674999999999</v>
      </c>
      <c r="C6" s="2">
        <f>B6/C3</f>
        <v>1.7252669039145907</v>
      </c>
      <c r="D6" s="2" t="s">
        <v>10</v>
      </c>
      <c r="E6" s="2">
        <v>18.023700000000002</v>
      </c>
      <c r="F6" s="2">
        <f>E6/F3</f>
        <v>1.0524554015403307</v>
      </c>
      <c r="G6" s="2" t="s">
        <v>16</v>
      </c>
      <c r="H6" s="2">
        <v>22.517499999999998</v>
      </c>
      <c r="I6" s="2">
        <f>H6/I3</f>
        <v>1.177167114078171</v>
      </c>
      <c r="J6" s="2" t="s">
        <v>22</v>
      </c>
      <c r="K6" s="2">
        <v>28.9798875</v>
      </c>
      <c r="L6" s="2">
        <f>K6/L3</f>
        <v>1.1571164510166358</v>
      </c>
      <c r="M6" s="2" t="s">
        <v>28</v>
      </c>
      <c r="N6" s="2">
        <v>29.103337499999999</v>
      </c>
      <c r="O6" s="2">
        <f>N6/O3</f>
        <v>1.1081081081081081</v>
      </c>
    </row>
    <row r="7" spans="1:15" ht="16.5" x14ac:dyDescent="0.3">
      <c r="A7" s="2" t="s">
        <v>4</v>
      </c>
      <c r="B7" s="2">
        <v>16.326262499999999</v>
      </c>
      <c r="C7" s="2">
        <f>B7/C3</f>
        <v>1.5060498220640568</v>
      </c>
      <c r="D7" s="2" t="s">
        <v>10</v>
      </c>
      <c r="E7" s="2">
        <v>15.770737499999999</v>
      </c>
      <c r="F7" s="2">
        <f>E7/F3</f>
        <v>0.92089847634778932</v>
      </c>
      <c r="G7" s="2" t="s">
        <v>17</v>
      </c>
      <c r="H7" s="2">
        <v>23.647012499999999</v>
      </c>
      <c r="I7" s="2">
        <f>H7/I3</f>
        <v>1.2362156305626928</v>
      </c>
      <c r="J7" s="2" t="s">
        <v>22</v>
      </c>
      <c r="K7" s="2">
        <v>26.702400000000001</v>
      </c>
      <c r="L7" s="2">
        <f>K7/L3</f>
        <v>1.0661803404732546</v>
      </c>
      <c r="M7" s="2" t="s">
        <v>29</v>
      </c>
      <c r="N7" s="2">
        <v>32.961150000000004</v>
      </c>
      <c r="O7" s="2">
        <f>N7/O3</f>
        <v>1.2549941245593421</v>
      </c>
    </row>
    <row r="8" spans="1:15" ht="16.5" x14ac:dyDescent="0.3">
      <c r="A8" s="2" t="s">
        <v>5</v>
      </c>
      <c r="B8" s="2">
        <v>18.14715</v>
      </c>
      <c r="C8" s="2">
        <f>B8/C3</f>
        <v>1.6740213523131673</v>
      </c>
      <c r="D8" s="2" t="s">
        <v>11</v>
      </c>
      <c r="E8" s="2">
        <v>17.776800000000001</v>
      </c>
      <c r="F8" s="2">
        <f>E8/F3</f>
        <v>1.0380382042589564</v>
      </c>
      <c r="G8" s="2" t="s">
        <v>17</v>
      </c>
      <c r="H8" s="2">
        <v>23.4803</v>
      </c>
      <c r="I8" s="2">
        <f>H8/I3</f>
        <v>1.2275002548546543</v>
      </c>
      <c r="J8" s="2" t="s">
        <v>23</v>
      </c>
      <c r="K8" s="2">
        <v>25.862774999999999</v>
      </c>
      <c r="L8" s="2">
        <f>K8/L3</f>
        <v>1.0326555760936538</v>
      </c>
      <c r="M8" s="2" t="s">
        <v>29</v>
      </c>
      <c r="N8" s="2">
        <v>31.757512500000001</v>
      </c>
      <c r="O8" s="2">
        <f>N8/O3</f>
        <v>1.2091656874265571</v>
      </c>
    </row>
    <row r="9" spans="1:15" ht="16.5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8"/>
    </row>
    <row r="10" spans="1:15" ht="16.5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8"/>
    </row>
    <row r="11" spans="1:15" ht="16.5" x14ac:dyDescent="0.3">
      <c r="A11" s="1" t="s">
        <v>31</v>
      </c>
      <c r="B11" s="1">
        <v>10.8327375</v>
      </c>
      <c r="C11" s="1"/>
      <c r="D11" s="1" t="s">
        <v>36</v>
      </c>
      <c r="E11" s="1">
        <v>13.7955375</v>
      </c>
      <c r="F11" s="1"/>
      <c r="G11" s="1" t="s">
        <v>42</v>
      </c>
      <c r="H11" s="1">
        <v>15.0609</v>
      </c>
      <c r="I11" s="1"/>
      <c r="J11" s="1" t="s">
        <v>48</v>
      </c>
      <c r="K11" s="1">
        <v>25.831912500000001</v>
      </c>
      <c r="L11" s="1"/>
      <c r="M11" s="1" t="s">
        <v>55</v>
      </c>
      <c r="N11" s="1">
        <v>31.603200000000001</v>
      </c>
      <c r="O11" s="10"/>
    </row>
    <row r="12" spans="1:15" ht="16.5" x14ac:dyDescent="0.3">
      <c r="A12" s="1" t="s">
        <v>31</v>
      </c>
      <c r="B12" s="1">
        <v>12.036375</v>
      </c>
      <c r="C12" s="1"/>
      <c r="D12" s="1" t="s">
        <v>37</v>
      </c>
      <c r="E12" s="1">
        <v>13.147425</v>
      </c>
      <c r="F12" s="1"/>
      <c r="G12" s="1" t="s">
        <v>43</v>
      </c>
      <c r="H12" s="1">
        <v>15.2152125</v>
      </c>
      <c r="I12" s="1"/>
      <c r="J12" s="1" t="s">
        <v>49</v>
      </c>
      <c r="K12" s="1">
        <v>24.566549999999999</v>
      </c>
      <c r="L12" s="1"/>
      <c r="M12" s="1" t="s">
        <v>55</v>
      </c>
      <c r="N12" s="1">
        <v>33.238912499999998</v>
      </c>
      <c r="O12" s="10"/>
    </row>
    <row r="13" spans="1:15" ht="16.5" x14ac:dyDescent="0.3">
      <c r="A13" s="1" t="s">
        <v>32</v>
      </c>
      <c r="B13" s="1">
        <v>10.771012499999999</v>
      </c>
      <c r="C13" s="1">
        <f>AVERAGE(B11:B14)</f>
        <v>11.403693749999999</v>
      </c>
      <c r="D13" s="1" t="s">
        <v>37</v>
      </c>
      <c r="E13" s="1">
        <v>13.517775</v>
      </c>
      <c r="F13" s="1">
        <f>AVERAGE(E11:E14)</f>
        <v>13.456050000000001</v>
      </c>
      <c r="G13" s="1" t="s">
        <v>44</v>
      </c>
      <c r="H13" s="1">
        <v>17.128687500000002</v>
      </c>
      <c r="I13" s="1">
        <f>AVERAGE(H11:H14)</f>
        <v>15.647287500000001</v>
      </c>
      <c r="J13" s="1" t="s">
        <v>50</v>
      </c>
      <c r="K13" s="1">
        <v>27.837975</v>
      </c>
      <c r="L13" s="1">
        <f>AVERAGE(K11:K14)</f>
        <v>26.271703124999998</v>
      </c>
      <c r="M13" s="1" t="s">
        <v>56</v>
      </c>
      <c r="N13" s="1">
        <v>40.688899999999997</v>
      </c>
      <c r="O13" s="11">
        <f>AVERAGE(N11:N14)</f>
        <v>35.914581249999998</v>
      </c>
    </row>
    <row r="14" spans="1:15" ht="16.5" x14ac:dyDescent="0.3">
      <c r="A14" s="1" t="s">
        <v>32</v>
      </c>
      <c r="B14" s="1">
        <v>11.97465</v>
      </c>
      <c r="C14" s="1"/>
      <c r="D14" s="1" t="s">
        <v>38</v>
      </c>
      <c r="E14" s="1">
        <v>13.363462500000001</v>
      </c>
      <c r="F14" s="1"/>
      <c r="G14" s="1" t="s">
        <v>44</v>
      </c>
      <c r="H14" s="1">
        <v>15.18435</v>
      </c>
      <c r="I14" s="1"/>
      <c r="J14" s="1" t="s">
        <v>50</v>
      </c>
      <c r="K14" s="1">
        <v>26.850375</v>
      </c>
      <c r="L14" s="1"/>
      <c r="M14" s="1" t="s">
        <v>56</v>
      </c>
      <c r="N14" s="1">
        <v>38.127312500000002</v>
      </c>
      <c r="O14" s="10"/>
    </row>
    <row r="15" spans="1:15" ht="16.5" x14ac:dyDescent="0.3">
      <c r="A15" s="2" t="s">
        <v>34</v>
      </c>
      <c r="B15" s="2">
        <v>11.295674999999999</v>
      </c>
      <c r="C15" s="2">
        <f>B15/C13</f>
        <v>0.99052774018944523</v>
      </c>
      <c r="D15" s="2" t="s">
        <v>39</v>
      </c>
      <c r="E15" s="2">
        <v>15.122624999999999</v>
      </c>
      <c r="F15" s="2">
        <f>E15/F13</f>
        <v>1.1238532110091741</v>
      </c>
      <c r="G15" s="2" t="s">
        <v>45</v>
      </c>
      <c r="H15" s="2">
        <v>14.875724999999999</v>
      </c>
      <c r="I15" s="2">
        <f>H15/I13</f>
        <v>0.95069033530571978</v>
      </c>
      <c r="J15" s="2" t="s">
        <v>51</v>
      </c>
      <c r="K15" s="2">
        <v>29.195924999999999</v>
      </c>
      <c r="L15" s="2">
        <f>K15/L13</f>
        <v>1.1113069016152717</v>
      </c>
      <c r="M15" s="2" t="s">
        <v>57</v>
      </c>
      <c r="N15" s="2">
        <v>34.189587500000002</v>
      </c>
      <c r="O15" s="2">
        <f>N15/O13</f>
        <v>0.95196954301116909</v>
      </c>
    </row>
    <row r="16" spans="1:15" ht="16.5" x14ac:dyDescent="0.3">
      <c r="A16" s="2" t="s">
        <v>34</v>
      </c>
      <c r="B16" s="2">
        <v>11.542574999999999</v>
      </c>
      <c r="C16" s="2">
        <f>B16/C13</f>
        <v>1.0121786197564278</v>
      </c>
      <c r="D16" s="2" t="s">
        <v>40</v>
      </c>
      <c r="E16" s="2">
        <v>11.72775</v>
      </c>
      <c r="F16" s="2">
        <f>E16/F13</f>
        <v>0.87155963302752293</v>
      </c>
      <c r="G16" s="2" t="s">
        <v>46</v>
      </c>
      <c r="H16" s="2">
        <v>16.7583375</v>
      </c>
      <c r="I16" s="2">
        <f>H16/I13</f>
        <v>1.0710059171597632</v>
      </c>
      <c r="J16" s="2" t="s">
        <v>52</v>
      </c>
      <c r="K16" s="2">
        <v>29.072475000000001</v>
      </c>
      <c r="L16" s="2">
        <f>K16/L13</f>
        <v>1.1066079295154185</v>
      </c>
      <c r="M16" s="2" t="s">
        <v>58</v>
      </c>
      <c r="N16" s="2">
        <v>34.041337499999997</v>
      </c>
      <c r="O16" s="2">
        <f>N16/O13</f>
        <v>0.94784169312846989</v>
      </c>
    </row>
    <row r="17" spans="1:15" ht="16.5" x14ac:dyDescent="0.3">
      <c r="A17" s="2" t="s">
        <v>35</v>
      </c>
      <c r="B17" s="2">
        <v>12.2524125</v>
      </c>
      <c r="C17" s="2">
        <f>B17/C13</f>
        <v>1.0744248985115021</v>
      </c>
      <c r="D17" s="2" t="s">
        <v>41</v>
      </c>
      <c r="E17" s="2">
        <v>14.2893375</v>
      </c>
      <c r="F17" s="2">
        <f>E17/F13</f>
        <v>1.0619266055045871</v>
      </c>
      <c r="G17" s="2" t="s">
        <v>46</v>
      </c>
      <c r="H17" s="2">
        <v>17.7459375</v>
      </c>
      <c r="I17" s="2">
        <f>H17/I13</f>
        <v>1.1341222879684418</v>
      </c>
      <c r="J17" s="2" t="s">
        <v>53</v>
      </c>
      <c r="K17" s="2">
        <v>32.467350000000003</v>
      </c>
      <c r="L17" s="2">
        <f>K17/L13</f>
        <v>1.2358296622613805</v>
      </c>
      <c r="M17" s="2" t="s">
        <v>59</v>
      </c>
      <c r="N17" s="2">
        <v>36.139987499999997</v>
      </c>
      <c r="O17" s="2">
        <f>N17/O13</f>
        <v>1.0062761764763719</v>
      </c>
    </row>
    <row r="18" spans="1:15" ht="16.5" x14ac:dyDescent="0.3">
      <c r="A18" s="2" t="s">
        <v>35</v>
      </c>
      <c r="B18" s="2">
        <v>13.085699999999999</v>
      </c>
      <c r="C18" s="2">
        <f>B18/C13</f>
        <v>1.1474966170500678</v>
      </c>
      <c r="D18" s="2" t="s">
        <v>41</v>
      </c>
      <c r="E18" s="2">
        <v>13.641225</v>
      </c>
      <c r="F18" s="2">
        <f>E18/F13</f>
        <v>1.0137614678899083</v>
      </c>
      <c r="G18" s="2" t="s">
        <v>47</v>
      </c>
      <c r="H18" s="2">
        <v>15.739875</v>
      </c>
      <c r="I18" s="2">
        <f>H18/I13</f>
        <v>1.0059171597633134</v>
      </c>
      <c r="J18" s="2" t="s">
        <v>53</v>
      </c>
      <c r="K18" s="2">
        <v>33.887025000000001</v>
      </c>
      <c r="L18" s="2">
        <f>K18/L13</f>
        <v>1.2898678414096918</v>
      </c>
      <c r="M18" s="2" t="s">
        <v>59</v>
      </c>
      <c r="N18" s="2">
        <v>37.837425000000003</v>
      </c>
      <c r="O18" s="2">
        <f>N18/O13</f>
        <v>1.0535393615371753</v>
      </c>
    </row>
    <row r="19" spans="1:15" ht="16.5" x14ac:dyDescent="0.3">
      <c r="C19" s="5"/>
      <c r="F19" s="5"/>
      <c r="I19" s="5"/>
      <c r="L19" s="5"/>
    </row>
    <row r="20" spans="1:15" ht="16.5" x14ac:dyDescent="0.3">
      <c r="C20" s="5"/>
      <c r="F20" s="5"/>
      <c r="G20" s="5"/>
      <c r="H20" s="5"/>
      <c r="I20" s="5"/>
      <c r="L20" s="5"/>
    </row>
    <row r="22" spans="1:15" ht="16.5" x14ac:dyDescent="0.3">
      <c r="A22" s="5" t="s">
        <v>60</v>
      </c>
    </row>
    <row r="23" spans="1:15" ht="16.5" x14ac:dyDescent="0.3">
      <c r="A23" s="2" t="s">
        <v>62</v>
      </c>
      <c r="B23">
        <v>1.588612099644128</v>
      </c>
      <c r="D23" s="2" t="s">
        <v>63</v>
      </c>
      <c r="E23">
        <v>0.960561826908233</v>
      </c>
      <c r="G23" s="2" t="s">
        <v>64</v>
      </c>
      <c r="H23">
        <v>1.2859005256540617</v>
      </c>
      <c r="J23" s="2" t="s">
        <v>65</v>
      </c>
      <c r="K23">
        <v>1.1410967344423906</v>
      </c>
      <c r="M23" s="2" t="s">
        <v>66</v>
      </c>
      <c r="N23">
        <v>1.2502937720329024</v>
      </c>
    </row>
    <row r="24" spans="1:15" ht="16.5" x14ac:dyDescent="0.3">
      <c r="A24" s="2" t="s">
        <v>67</v>
      </c>
      <c r="B24">
        <v>1.7252669039145907</v>
      </c>
      <c r="D24" s="2" t="s">
        <v>68</v>
      </c>
      <c r="E24">
        <v>1.0524554015403307</v>
      </c>
      <c r="G24" s="2" t="s">
        <v>69</v>
      </c>
      <c r="H24">
        <v>1.177167114078171</v>
      </c>
      <c r="J24" s="2" t="s">
        <v>70</v>
      </c>
      <c r="K24">
        <v>1.1571164510166358</v>
      </c>
      <c r="M24" s="2" t="s">
        <v>71</v>
      </c>
      <c r="N24">
        <v>1.1081081081081081</v>
      </c>
    </row>
    <row r="25" spans="1:15" ht="16.5" x14ac:dyDescent="0.3">
      <c r="A25" s="2" t="s">
        <v>72</v>
      </c>
      <c r="B25">
        <v>1.5060498220640568</v>
      </c>
      <c r="C25">
        <f>AVERAGE(B23:B26)</f>
        <v>1.6234875444839858</v>
      </c>
      <c r="D25" s="2" t="s">
        <v>73</v>
      </c>
      <c r="E25">
        <v>0.92089847634778932</v>
      </c>
      <c r="F25">
        <f>AVERAGE(E23:E26)</f>
        <v>0.99298847726382733</v>
      </c>
      <c r="G25" s="2" t="s">
        <v>74</v>
      </c>
      <c r="H25">
        <v>1.2362156305626928</v>
      </c>
      <c r="I25">
        <f>AVERAGE(H23:H26)</f>
        <v>1.2316958812873948</v>
      </c>
      <c r="J25" s="2" t="s">
        <v>75</v>
      </c>
      <c r="K25">
        <v>1.0661803404732546</v>
      </c>
      <c r="L25">
        <f>AVERAGE(K23:K26)</f>
        <v>1.0992622755064838</v>
      </c>
      <c r="M25" s="2" t="s">
        <v>76</v>
      </c>
      <c r="N25">
        <v>1.2549941245593421</v>
      </c>
      <c r="O25">
        <f>AVERAGE(N23:N26)</f>
        <v>1.2056404230317275</v>
      </c>
    </row>
    <row r="26" spans="1:15" ht="16.5" x14ac:dyDescent="0.3">
      <c r="A26" s="2" t="s">
        <v>61</v>
      </c>
      <c r="B26">
        <v>1.6740213523131673</v>
      </c>
      <c r="C26">
        <f>_xlfn.STDEV.P(B23:B26)</f>
        <v>8.3547320483333229E-2</v>
      </c>
      <c r="D26" s="2" t="s">
        <v>63</v>
      </c>
      <c r="E26">
        <v>1.0380382042589564</v>
      </c>
      <c r="F26">
        <f>_xlfn.STDEV.P(E23:E26)</f>
        <v>5.4346685433891401E-2</v>
      </c>
      <c r="G26" s="2" t="s">
        <v>64</v>
      </c>
      <c r="H26">
        <v>1.2275002548546543</v>
      </c>
      <c r="I26">
        <f>_xlfn.STDEV.P(H23:H26)</f>
        <v>3.8566699816516642E-2</v>
      </c>
      <c r="J26" s="2" t="s">
        <v>65</v>
      </c>
      <c r="K26">
        <v>1.0326555760936538</v>
      </c>
      <c r="L26">
        <f>_xlfn.STDEV.P(K23:K26)</f>
        <v>5.1546324822031288E-2</v>
      </c>
      <c r="M26" s="2" t="s">
        <v>66</v>
      </c>
      <c r="N26">
        <v>1.2091656874265571</v>
      </c>
      <c r="O26">
        <f>_xlfn.STDEV.P(N23:N26)</f>
        <v>5.9064984074557902E-2</v>
      </c>
    </row>
    <row r="29" spans="1:15" ht="16.5" x14ac:dyDescent="0.3">
      <c r="A29" s="2" t="s">
        <v>77</v>
      </c>
      <c r="B29">
        <v>0.99052774018944523</v>
      </c>
      <c r="D29" s="2" t="s">
        <v>78</v>
      </c>
      <c r="E29">
        <v>1.1238532110091741</v>
      </c>
      <c r="G29" s="2" t="s">
        <v>79</v>
      </c>
      <c r="H29">
        <v>0.95069033530571978</v>
      </c>
      <c r="J29" s="2" t="s">
        <v>80</v>
      </c>
      <c r="K29">
        <v>1.1113069016152717</v>
      </c>
      <c r="M29" s="2" t="s">
        <v>81</v>
      </c>
      <c r="N29">
        <v>0.95196954301116909</v>
      </c>
    </row>
    <row r="30" spans="1:15" ht="16.5" x14ac:dyDescent="0.3">
      <c r="A30" s="2" t="s">
        <v>82</v>
      </c>
      <c r="B30">
        <v>1.0121786197564278</v>
      </c>
      <c r="D30" s="2" t="s">
        <v>83</v>
      </c>
      <c r="E30">
        <v>0.87155963302752293</v>
      </c>
      <c r="G30" s="2" t="s">
        <v>84</v>
      </c>
      <c r="H30">
        <v>1.0710059171597632</v>
      </c>
      <c r="J30" s="2" t="s">
        <v>85</v>
      </c>
      <c r="K30">
        <v>1.1066079295154185</v>
      </c>
      <c r="M30" s="2" t="s">
        <v>86</v>
      </c>
      <c r="N30">
        <v>0.94784169312846989</v>
      </c>
    </row>
    <row r="31" spans="1:15" ht="16.5" x14ac:dyDescent="0.3">
      <c r="A31" s="2" t="s">
        <v>87</v>
      </c>
      <c r="B31">
        <v>1.0744248985115021</v>
      </c>
      <c r="C31">
        <f>AVERAGE(B29:B32)</f>
        <v>1.0561569688768606</v>
      </c>
      <c r="D31" s="2" t="s">
        <v>88</v>
      </c>
      <c r="E31">
        <v>1.0619266055045871</v>
      </c>
      <c r="F31">
        <f>AVERAGE(E29:E32)</f>
        <v>1.017775229357798</v>
      </c>
      <c r="G31" s="2" t="s">
        <v>89</v>
      </c>
      <c r="H31">
        <v>1.1341222879684418</v>
      </c>
      <c r="I31">
        <f>AVERAGE(H29:H32)</f>
        <v>1.0404339250493098</v>
      </c>
      <c r="J31" s="2" t="s">
        <v>80</v>
      </c>
      <c r="K31">
        <v>1.2358296622613805</v>
      </c>
      <c r="L31">
        <f>AVERAGE(K29:K32)</f>
        <v>1.1859030837004405</v>
      </c>
      <c r="M31" s="2" t="s">
        <v>90</v>
      </c>
      <c r="N31">
        <v>1.0062761764763719</v>
      </c>
      <c r="O31">
        <f>AVERAGE(N29:N32)</f>
        <v>0.98990669353829652</v>
      </c>
    </row>
    <row r="32" spans="1:15" ht="16.5" x14ac:dyDescent="0.3">
      <c r="A32" s="2" t="s">
        <v>77</v>
      </c>
      <c r="B32">
        <v>1.1474966170500678</v>
      </c>
      <c r="C32">
        <f>_xlfn.STDEV.P(B29:B32)</f>
        <v>6.1069508412556477E-2</v>
      </c>
      <c r="D32" s="2" t="s">
        <v>78</v>
      </c>
      <c r="E32">
        <v>1.0137614678899083</v>
      </c>
      <c r="F32">
        <f>_xlfn.STDEV.P(E29:E32)</f>
        <v>9.300133479986189E-2</v>
      </c>
      <c r="G32" s="2" t="s">
        <v>79</v>
      </c>
      <c r="H32">
        <v>1.0059171597633134</v>
      </c>
      <c r="I32">
        <f>_xlfn.STDEV.P(H29:H32)</f>
        <v>6.884307342417062E-2</v>
      </c>
      <c r="J32" s="2" t="s">
        <v>91</v>
      </c>
      <c r="K32">
        <v>1.2898678414096918</v>
      </c>
      <c r="L32">
        <f>_xlfn.STDEV.P(K29:K32)</f>
        <v>7.9299504965754844E-2</v>
      </c>
      <c r="M32" s="2" t="s">
        <v>81</v>
      </c>
      <c r="N32">
        <v>1.0535393615371753</v>
      </c>
      <c r="O32">
        <f>_xlfn.STDEV.P(N29:N32)</f>
        <v>4.3375592381868729E-2</v>
      </c>
    </row>
    <row r="34" spans="1:14" ht="16.5" x14ac:dyDescent="0.3">
      <c r="A34" s="6" t="s">
        <v>93</v>
      </c>
      <c r="B34" s="6"/>
      <c r="C34" s="6"/>
      <c r="D34" s="5" t="s">
        <v>92</v>
      </c>
      <c r="E34" s="6"/>
      <c r="F34" s="6"/>
      <c r="G34" s="6" t="s">
        <v>93</v>
      </c>
      <c r="H34" s="6"/>
      <c r="I34" s="6"/>
      <c r="J34" s="5" t="s">
        <v>92</v>
      </c>
      <c r="K34" s="6"/>
      <c r="L34" s="6"/>
      <c r="M34" s="6" t="s">
        <v>93</v>
      </c>
      <c r="N34" s="6"/>
    </row>
    <row r="37" spans="1:14" x14ac:dyDescent="0.3">
      <c r="A37" s="7" t="s">
        <v>105</v>
      </c>
      <c r="B37" s="7" t="s">
        <v>96</v>
      </c>
      <c r="C37" s="7" t="s">
        <v>97</v>
      </c>
      <c r="D37" s="7" t="s">
        <v>106</v>
      </c>
      <c r="E37" s="7" t="s">
        <v>98</v>
      </c>
      <c r="F37" s="7" t="s">
        <v>107</v>
      </c>
    </row>
    <row r="38" spans="1:14" x14ac:dyDescent="0.3">
      <c r="A38" s="7" t="s">
        <v>108</v>
      </c>
      <c r="B38" s="7">
        <v>1.6234999999999999</v>
      </c>
      <c r="C38" s="7">
        <v>1.0562</v>
      </c>
      <c r="D38" s="7">
        <v>0.56699999999999995</v>
      </c>
      <c r="E38" s="7" t="s">
        <v>100</v>
      </c>
      <c r="F38" s="7" t="s">
        <v>133</v>
      </c>
    </row>
    <row r="39" spans="1:14" x14ac:dyDescent="0.3">
      <c r="A39" s="7" t="s">
        <v>99</v>
      </c>
      <c r="B39" s="7">
        <v>0.99299999999999999</v>
      </c>
      <c r="C39" s="7">
        <v>1.0178</v>
      </c>
      <c r="D39" s="7" t="s">
        <v>134</v>
      </c>
      <c r="E39" s="7">
        <v>0.70399999999999996</v>
      </c>
      <c r="F39" s="7" t="s">
        <v>112</v>
      </c>
    </row>
    <row r="40" spans="1:14" x14ac:dyDescent="0.3">
      <c r="A40" s="7" t="s">
        <v>101</v>
      </c>
      <c r="B40" s="7">
        <v>1.2317</v>
      </c>
      <c r="C40" s="7">
        <v>1.0404</v>
      </c>
      <c r="D40" s="7">
        <v>0.191</v>
      </c>
      <c r="E40" s="7">
        <v>6.0000000000000001E-3</v>
      </c>
      <c r="F40" s="7" t="s">
        <v>133</v>
      </c>
    </row>
    <row r="41" spans="1:14" x14ac:dyDescent="0.3">
      <c r="A41" s="7" t="s">
        <v>102</v>
      </c>
      <c r="B41" s="7">
        <v>1.0992999999999999</v>
      </c>
      <c r="C41" s="7">
        <v>1.1859</v>
      </c>
      <c r="D41" s="7" t="s">
        <v>135</v>
      </c>
      <c r="E41" s="7">
        <v>0.16400000000000001</v>
      </c>
      <c r="F41" s="7" t="s">
        <v>112</v>
      </c>
    </row>
    <row r="42" spans="1:14" x14ac:dyDescent="0.3">
      <c r="A42" s="7" t="s">
        <v>103</v>
      </c>
      <c r="B42" s="7">
        <v>1.2056</v>
      </c>
      <c r="C42" s="7">
        <v>0.9899</v>
      </c>
      <c r="D42" s="7">
        <v>0.216</v>
      </c>
      <c r="E42" s="7">
        <v>2E-3</v>
      </c>
      <c r="F42" s="7" t="s">
        <v>133</v>
      </c>
    </row>
    <row r="44" spans="1:14" x14ac:dyDescent="0.3">
      <c r="B44" t="s">
        <v>216</v>
      </c>
      <c r="C44" t="s">
        <v>217</v>
      </c>
      <c r="K44" t="s">
        <v>218</v>
      </c>
      <c r="L44" t="s">
        <v>219</v>
      </c>
    </row>
    <row r="45" spans="1:14" x14ac:dyDescent="0.3">
      <c r="A45" t="s">
        <v>104</v>
      </c>
      <c r="B45">
        <v>1.6234875444839858</v>
      </c>
      <c r="C45">
        <v>8.3547320483333229E-2</v>
      </c>
      <c r="J45" t="s">
        <v>104</v>
      </c>
      <c r="K45">
        <v>1.0561569688768606</v>
      </c>
      <c r="L45">
        <v>6.1069508412556477E-2</v>
      </c>
    </row>
    <row r="46" spans="1:14" x14ac:dyDescent="0.3">
      <c r="A46" t="s">
        <v>220</v>
      </c>
      <c r="B46">
        <v>0.99298847726382733</v>
      </c>
      <c r="C46">
        <v>5.4346685433891401E-2</v>
      </c>
      <c r="J46" t="s">
        <v>220</v>
      </c>
      <c r="K46">
        <v>1.017775229357798</v>
      </c>
      <c r="L46">
        <v>9.300133479986189E-2</v>
      </c>
    </row>
    <row r="47" spans="1:14" x14ac:dyDescent="0.3">
      <c r="A47" t="s">
        <v>221</v>
      </c>
      <c r="B47">
        <v>1.2316958812873948</v>
      </c>
      <c r="C47">
        <v>3.8566699816516642E-2</v>
      </c>
      <c r="J47" t="s">
        <v>221</v>
      </c>
      <c r="K47">
        <v>1.0404339250493098</v>
      </c>
      <c r="L47">
        <v>6.884307342417062E-2</v>
      </c>
    </row>
    <row r="48" spans="1:14" x14ac:dyDescent="0.3">
      <c r="A48" t="s">
        <v>222</v>
      </c>
      <c r="B48">
        <v>1.0992622755064838</v>
      </c>
      <c r="C48">
        <v>5.1546324822031288E-2</v>
      </c>
      <c r="J48" t="s">
        <v>222</v>
      </c>
      <c r="K48">
        <v>1.1859030837004405</v>
      </c>
      <c r="L48">
        <v>7.9299504965754844E-2</v>
      </c>
    </row>
    <row r="49" spans="1:12" x14ac:dyDescent="0.3">
      <c r="A49" t="s">
        <v>223</v>
      </c>
      <c r="B49">
        <v>1.2056404230317275</v>
      </c>
      <c r="C49">
        <v>5.9064984074557902E-2</v>
      </c>
      <c r="J49" t="s">
        <v>223</v>
      </c>
      <c r="K49">
        <v>0.98990669353829652</v>
      </c>
      <c r="L49">
        <v>4.3375592381868729E-2</v>
      </c>
    </row>
    <row r="52" spans="1:12" x14ac:dyDescent="0.3">
      <c r="B52" t="s">
        <v>216</v>
      </c>
      <c r="C52" t="s">
        <v>218</v>
      </c>
    </row>
    <row r="53" spans="1:12" x14ac:dyDescent="0.3">
      <c r="A53" t="s">
        <v>104</v>
      </c>
      <c r="B53">
        <v>1.6234875444839858</v>
      </c>
      <c r="C53">
        <v>1.0561569688768606</v>
      </c>
    </row>
    <row r="54" spans="1:12" x14ac:dyDescent="0.3">
      <c r="A54" t="s">
        <v>220</v>
      </c>
      <c r="B54">
        <v>0.99298847726382733</v>
      </c>
      <c r="C54">
        <v>1.017775229357798</v>
      </c>
    </row>
    <row r="55" spans="1:12" x14ac:dyDescent="0.3">
      <c r="A55" t="s">
        <v>221</v>
      </c>
      <c r="B55">
        <v>1.2316958812873948</v>
      </c>
      <c r="C55">
        <v>1.0404339250493098</v>
      </c>
    </row>
    <row r="56" spans="1:12" x14ac:dyDescent="0.3">
      <c r="A56" t="s">
        <v>222</v>
      </c>
      <c r="B56">
        <v>1.0992622755064838</v>
      </c>
      <c r="C56">
        <v>1.1859030837004405</v>
      </c>
    </row>
    <row r="57" spans="1:12" x14ac:dyDescent="0.3">
      <c r="A57" t="s">
        <v>223</v>
      </c>
      <c r="B57">
        <v>1.2056404230317275</v>
      </c>
      <c r="C57">
        <v>0.98990669353829652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7DF1-366E-4E18-ADB6-7B44430A3561}">
  <dimension ref="A1:P58"/>
  <sheetViews>
    <sheetView topLeftCell="A43" workbookViewId="0">
      <selection activeCell="L62" sqref="L62"/>
    </sheetView>
  </sheetViews>
  <sheetFormatPr defaultRowHeight="16.5" x14ac:dyDescent="0.45"/>
  <cols>
    <col min="1" max="1" width="15.75" style="14" bestFit="1" customWidth="1"/>
    <col min="2" max="3" width="8.6640625" style="14"/>
    <col min="4" max="4" width="16.4140625" style="14" bestFit="1" customWidth="1"/>
    <col min="5" max="6" width="8.6640625" style="14"/>
    <col min="7" max="7" width="16.9140625" style="14" bestFit="1" customWidth="1"/>
    <col min="8" max="9" width="8.6640625" style="14"/>
    <col min="10" max="10" width="16.83203125" style="14" bestFit="1" customWidth="1"/>
    <col min="11" max="12" width="8.6640625" style="14"/>
    <col min="13" max="13" width="16.9140625" style="14" bestFit="1" customWidth="1"/>
    <col min="14" max="16384" width="8.6640625" style="14"/>
  </cols>
  <sheetData>
    <row r="1" spans="1:16" x14ac:dyDescent="0.45">
      <c r="A1" s="15" t="s">
        <v>0</v>
      </c>
      <c r="B1" s="16">
        <v>8.2665668289030307</v>
      </c>
      <c r="C1" s="17"/>
      <c r="D1" s="15" t="s">
        <v>6</v>
      </c>
      <c r="E1" s="16">
        <v>8.2306252339947594</v>
      </c>
      <c r="F1" s="17"/>
      <c r="G1" s="15" t="s">
        <v>12</v>
      </c>
      <c r="H1" s="16">
        <v>9.2968925496068895</v>
      </c>
      <c r="I1" s="17"/>
      <c r="J1" s="15" t="s">
        <v>18</v>
      </c>
      <c r="K1" s="16">
        <v>10.752527143391999</v>
      </c>
      <c r="L1" s="17"/>
      <c r="M1" s="15" t="s">
        <v>24</v>
      </c>
      <c r="N1" s="16">
        <v>8.7573942343691513</v>
      </c>
      <c r="O1" s="17"/>
      <c r="P1" s="18"/>
    </row>
    <row r="2" spans="1:16" x14ac:dyDescent="0.45">
      <c r="A2" s="15" t="s">
        <v>136</v>
      </c>
      <c r="B2" s="16">
        <v>8.6140022463496795</v>
      </c>
      <c r="C2" s="17"/>
      <c r="D2" s="15" t="s">
        <v>141</v>
      </c>
      <c r="E2" s="16">
        <v>7.9970048670909799</v>
      </c>
      <c r="F2" s="17"/>
      <c r="G2" s="15" t="s">
        <v>146</v>
      </c>
      <c r="H2" s="16">
        <v>7.8412579558217903</v>
      </c>
      <c r="I2" s="17"/>
      <c r="J2" s="15" t="s">
        <v>152</v>
      </c>
      <c r="K2" s="16">
        <v>9.6922500935979095</v>
      </c>
      <c r="L2" s="17"/>
      <c r="M2" s="15" t="s">
        <v>157</v>
      </c>
      <c r="N2" s="16">
        <v>8.8232871583676591</v>
      </c>
      <c r="O2" s="17"/>
      <c r="P2" s="18"/>
    </row>
    <row r="3" spans="1:16" x14ac:dyDescent="0.45">
      <c r="A3" s="15" t="s">
        <v>137</v>
      </c>
      <c r="B3" s="16">
        <v>8.7278172968925496</v>
      </c>
      <c r="C3" s="1">
        <f>AVERAGE(B1:B4)</f>
        <v>8.4298015724447737</v>
      </c>
      <c r="D3" s="15" t="s">
        <v>142</v>
      </c>
      <c r="E3" s="16">
        <v>7.79333582927742</v>
      </c>
      <c r="F3" s="1">
        <f>AVERAGE(E1:E4)</f>
        <v>8.1092287532759286</v>
      </c>
      <c r="G3" s="15" t="s">
        <v>147</v>
      </c>
      <c r="H3" s="16">
        <v>7.7633845001872004</v>
      </c>
      <c r="I3" s="1">
        <f>AVERAGE(H1:H4)</f>
        <v>8.3054099588169219</v>
      </c>
      <c r="J3" s="15" t="s">
        <v>153</v>
      </c>
      <c r="K3" s="16">
        <v>10.1351553725196</v>
      </c>
      <c r="L3" s="1">
        <f>AVERAGE(K1:K4)</f>
        <v>10.213216023961051</v>
      </c>
      <c r="M3" s="15" t="s">
        <v>158</v>
      </c>
      <c r="N3" s="16">
        <v>8.4219393485585901</v>
      </c>
      <c r="O3" s="1">
        <f>AVERAGE(N1:N4)</f>
        <v>8.6959004118307757</v>
      </c>
      <c r="P3" s="18"/>
    </row>
    <row r="4" spans="1:16" x14ac:dyDescent="0.45">
      <c r="A4" s="15" t="s">
        <v>138</v>
      </c>
      <c r="B4" s="16">
        <v>8.1108199176338402</v>
      </c>
      <c r="C4" s="1"/>
      <c r="D4" s="15" t="s">
        <v>143</v>
      </c>
      <c r="E4" s="16">
        <v>8.4159490827405499</v>
      </c>
      <c r="F4" s="1"/>
      <c r="G4" s="15" t="s">
        <v>148</v>
      </c>
      <c r="H4" s="16">
        <v>8.3201048296518092</v>
      </c>
      <c r="I4" s="1"/>
      <c r="J4" s="15" t="s">
        <v>20</v>
      </c>
      <c r="K4" s="16">
        <v>10.2729314863347</v>
      </c>
      <c r="L4" s="1"/>
      <c r="M4" s="15" t="s">
        <v>26</v>
      </c>
      <c r="N4" s="16">
        <v>8.7809809060277004</v>
      </c>
      <c r="O4" s="1"/>
      <c r="P4" s="18"/>
    </row>
    <row r="5" spans="1:16" x14ac:dyDescent="0.45">
      <c r="A5" s="12" t="s">
        <v>3</v>
      </c>
      <c r="B5" s="13">
        <v>9.0964058405091706</v>
      </c>
      <c r="C5" s="2">
        <f>B5/C3</f>
        <v>1.079077100728371</v>
      </c>
      <c r="D5" s="12" t="s">
        <v>9</v>
      </c>
      <c r="E5" s="13">
        <v>6.6551853238487402</v>
      </c>
      <c r="F5" s="2">
        <f>E5/F3</f>
        <v>0.82069275961172128</v>
      </c>
      <c r="G5" s="12" t="s">
        <v>15</v>
      </c>
      <c r="H5" s="13">
        <v>7.6379633096218598</v>
      </c>
      <c r="I5" s="2">
        <f>H5/I3</f>
        <v>0.9196371217670587</v>
      </c>
      <c r="J5" s="12" t="s">
        <v>21</v>
      </c>
      <c r="K5" s="13">
        <v>8.8715836765256508</v>
      </c>
      <c r="L5" s="2">
        <f>K5/L3</f>
        <v>0.86863762165728997</v>
      </c>
      <c r="M5" s="12" t="s">
        <v>27</v>
      </c>
      <c r="N5" s="13">
        <v>6.6611755896667901</v>
      </c>
      <c r="O5" s="2">
        <f>N5/O3</f>
        <v>0.76601332515310994</v>
      </c>
    </row>
    <row r="6" spans="1:16" x14ac:dyDescent="0.45">
      <c r="A6" s="12" t="s">
        <v>139</v>
      </c>
      <c r="B6" s="13">
        <v>9.1531261699738007</v>
      </c>
      <c r="C6" s="2">
        <f>B6/C3</f>
        <v>1.0858056493160433</v>
      </c>
      <c r="D6" s="12" t="s">
        <v>144</v>
      </c>
      <c r="E6" s="13">
        <v>7.0928491201797099</v>
      </c>
      <c r="F6" s="2">
        <f>E6/F3</f>
        <v>0.87466383499347866</v>
      </c>
      <c r="G6" s="12" t="s">
        <v>149</v>
      </c>
      <c r="H6" s="13">
        <v>7.50385623362037</v>
      </c>
      <c r="I6" s="2">
        <f>H6/I3</f>
        <v>0.90349016735222898</v>
      </c>
      <c r="J6" s="12" t="s">
        <v>154</v>
      </c>
      <c r="K6" s="13">
        <v>8.1830774990640194</v>
      </c>
      <c r="L6" s="2">
        <f>K6/L3</f>
        <v>0.80122436261661767</v>
      </c>
      <c r="M6" s="12" t="s">
        <v>159</v>
      </c>
      <c r="N6" s="13">
        <v>6.7517783601647299</v>
      </c>
      <c r="O6" s="2">
        <f>N6/O3</f>
        <v>0.77643234632481906</v>
      </c>
    </row>
    <row r="7" spans="1:16" x14ac:dyDescent="0.45">
      <c r="A7" s="12" t="s">
        <v>140</v>
      </c>
      <c r="B7" s="13">
        <v>8.3927368026956195</v>
      </c>
      <c r="C7" s="2">
        <f>B7/C3</f>
        <v>0.99560312666548278</v>
      </c>
      <c r="D7" s="12" t="s">
        <v>145</v>
      </c>
      <c r="E7" s="13">
        <v>7.5960314488955403</v>
      </c>
      <c r="F7" s="2">
        <f>E7/F3</f>
        <v>0.93671441267789257</v>
      </c>
      <c r="G7" s="12" t="s">
        <v>150</v>
      </c>
      <c r="H7" s="13">
        <v>7.5181579932609504</v>
      </c>
      <c r="I7" s="2">
        <f>H7/I3</f>
        <v>0.90521214853214627</v>
      </c>
      <c r="J7" s="12" t="s">
        <v>155</v>
      </c>
      <c r="K7" s="13">
        <v>8.5001871958068094</v>
      </c>
      <c r="L7" s="2">
        <f>K7/L3</f>
        <v>0.83227331879250044</v>
      </c>
      <c r="M7" s="12" t="s">
        <v>160</v>
      </c>
      <c r="N7" s="13">
        <v>6.4518906776488203</v>
      </c>
      <c r="O7" s="2">
        <f>N7/O3</f>
        <v>0.74194624732259129</v>
      </c>
    </row>
    <row r="8" spans="1:16" x14ac:dyDescent="0.45">
      <c r="A8" s="12" t="s">
        <v>5</v>
      </c>
      <c r="B8" s="13">
        <v>8.2845376263571708</v>
      </c>
      <c r="C8" s="2">
        <f>B8/C3</f>
        <v>0.98276780955764842</v>
      </c>
      <c r="D8" s="12" t="s">
        <v>11</v>
      </c>
      <c r="E8" s="13">
        <v>6.8888056907525304</v>
      </c>
      <c r="F8" s="2">
        <f>E8/F3</f>
        <v>0.84950195639377202</v>
      </c>
      <c r="G8" s="12" t="s">
        <v>151</v>
      </c>
      <c r="H8" s="13">
        <v>7.6795207787345596</v>
      </c>
      <c r="I8" s="2">
        <f>H8/I3</f>
        <v>0.92464078435792008</v>
      </c>
      <c r="J8" s="12" t="s">
        <v>156</v>
      </c>
      <c r="K8" s="13">
        <v>8.8536128790715107</v>
      </c>
      <c r="L8" s="2">
        <f>K8/L3</f>
        <v>0.86687805861544509</v>
      </c>
      <c r="M8" s="12" t="s">
        <v>161</v>
      </c>
      <c r="N8" s="13">
        <v>6.5546986147510298</v>
      </c>
      <c r="O8" s="2">
        <f>N8/O3</f>
        <v>0.75376882258602684</v>
      </c>
    </row>
    <row r="12" spans="1:16" x14ac:dyDescent="0.45">
      <c r="A12" s="15" t="s">
        <v>162</v>
      </c>
      <c r="B12" s="16">
        <v>8.4047173343317105</v>
      </c>
      <c r="C12" s="17"/>
      <c r="D12" s="15" t="s">
        <v>36</v>
      </c>
      <c r="E12" s="16">
        <v>9.4406589292399801</v>
      </c>
      <c r="F12" s="17"/>
      <c r="G12" s="15" t="s">
        <v>42</v>
      </c>
      <c r="H12" s="16">
        <v>10.135529764133301</v>
      </c>
      <c r="I12" s="17"/>
      <c r="J12" s="15" t="s">
        <v>48</v>
      </c>
      <c r="K12" s="16">
        <v>8.7102208910520407</v>
      </c>
      <c r="L12" s="17"/>
      <c r="M12" s="15" t="s">
        <v>54</v>
      </c>
      <c r="N12" s="16">
        <v>9.4166978659677998</v>
      </c>
      <c r="O12" s="17"/>
    </row>
    <row r="13" spans="1:16" x14ac:dyDescent="0.45">
      <c r="A13" s="15" t="s">
        <v>163</v>
      </c>
      <c r="B13" s="16">
        <v>8.5129165106702001</v>
      </c>
      <c r="C13" s="17"/>
      <c r="D13" s="15" t="s">
        <v>169</v>
      </c>
      <c r="E13" s="16">
        <v>8.9554473979782792</v>
      </c>
      <c r="F13" s="17"/>
      <c r="G13" s="15" t="s">
        <v>175</v>
      </c>
      <c r="H13" s="16">
        <v>9.91388992886559</v>
      </c>
      <c r="I13" s="17"/>
      <c r="J13" s="15" t="s">
        <v>182</v>
      </c>
      <c r="K13" s="16">
        <v>9.2190190939722996</v>
      </c>
      <c r="L13" s="17"/>
      <c r="M13" s="15" t="s">
        <v>188</v>
      </c>
      <c r="N13" s="16">
        <v>8.7218270310745094</v>
      </c>
      <c r="O13" s="17"/>
    </row>
    <row r="14" spans="1:16" x14ac:dyDescent="0.45">
      <c r="A14" s="15" t="s">
        <v>164</v>
      </c>
      <c r="B14" s="16">
        <v>7.8532384874578796</v>
      </c>
      <c r="C14" s="1">
        <f>AVERAGE(B12:B15)</f>
        <v>8.2833208536128886</v>
      </c>
      <c r="D14" s="15" t="s">
        <v>170</v>
      </c>
      <c r="E14" s="16">
        <v>9.6802695619618095</v>
      </c>
      <c r="F14" s="1">
        <f>AVERAGE(E12:E15)</f>
        <v>9.325346312242603</v>
      </c>
      <c r="G14" s="15" t="s">
        <v>176</v>
      </c>
      <c r="H14" s="16">
        <v>10.363159865219</v>
      </c>
      <c r="I14" s="1">
        <f>AVERAGE(H12:H15)</f>
        <v>10.220891052040422</v>
      </c>
      <c r="J14" s="15" t="s">
        <v>183</v>
      </c>
      <c r="K14" s="16">
        <v>8.4402845376263596</v>
      </c>
      <c r="L14" s="1">
        <f>AVERAGE(K12:K15)</f>
        <v>8.6545301385248994</v>
      </c>
      <c r="M14" s="15" t="s">
        <v>189</v>
      </c>
      <c r="N14" s="16">
        <v>8.4522650692624506</v>
      </c>
      <c r="O14" s="1">
        <f>AVERAGE(N12:N15)</f>
        <v>8.5466117558966701</v>
      </c>
    </row>
    <row r="15" spans="1:16" x14ac:dyDescent="0.45">
      <c r="A15" s="15" t="s">
        <v>165</v>
      </c>
      <c r="B15" s="16">
        <v>8.3624110819917696</v>
      </c>
      <c r="C15" s="1"/>
      <c r="D15" s="15" t="s">
        <v>171</v>
      </c>
      <c r="E15" s="16">
        <v>9.2250093597903398</v>
      </c>
      <c r="F15" s="1"/>
      <c r="G15" s="15" t="s">
        <v>177</v>
      </c>
      <c r="H15" s="16">
        <v>10.4709846499438</v>
      </c>
      <c r="I15" s="1"/>
      <c r="J15" s="15" t="s">
        <v>184</v>
      </c>
      <c r="K15" s="16">
        <v>8.2485960314488995</v>
      </c>
      <c r="L15" s="1"/>
      <c r="M15" s="15" t="s">
        <v>190</v>
      </c>
      <c r="N15" s="16">
        <v>7.5956570572819198</v>
      </c>
      <c r="O15" s="1"/>
    </row>
    <row r="16" spans="1:16" x14ac:dyDescent="0.45">
      <c r="A16" s="12" t="s">
        <v>33</v>
      </c>
      <c r="B16" s="13">
        <v>8.3144889554474002</v>
      </c>
      <c r="C16" s="2">
        <f>B16/C14</f>
        <v>1.0037627543814045</v>
      </c>
      <c r="D16" s="12" t="s">
        <v>39</v>
      </c>
      <c r="E16" s="13">
        <v>8.5600898539872698</v>
      </c>
      <c r="F16" s="2">
        <f>E16/F14</f>
        <v>0.91793801188373236</v>
      </c>
      <c r="G16" s="12" t="s">
        <v>178</v>
      </c>
      <c r="H16" s="13">
        <v>8.9015350056158802</v>
      </c>
      <c r="I16" s="2">
        <f>H16/I14</f>
        <v>0.87091575091575257</v>
      </c>
      <c r="J16" s="12" t="s">
        <v>51</v>
      </c>
      <c r="K16" s="13">
        <v>7.5044552602021701</v>
      </c>
      <c r="L16" s="2">
        <f>K16/L14</f>
        <v>0.86711296166116869</v>
      </c>
      <c r="M16" s="12" t="s">
        <v>57</v>
      </c>
      <c r="N16" s="13">
        <v>7.1583676525645901</v>
      </c>
      <c r="O16" s="2">
        <f>N16/O14</f>
        <v>0.83756789907131657</v>
      </c>
    </row>
    <row r="17" spans="1:15" x14ac:dyDescent="0.45">
      <c r="A17" s="12" t="s">
        <v>166</v>
      </c>
      <c r="B17" s="13">
        <v>8.1827031074504006</v>
      </c>
      <c r="C17" s="2">
        <f>B17/C14</f>
        <v>0.98785297009005724</v>
      </c>
      <c r="D17" s="12" t="s">
        <v>172</v>
      </c>
      <c r="E17" s="13">
        <v>8.6794084612504694</v>
      </c>
      <c r="F17" s="2">
        <f>E17/F14</f>
        <v>0.9307330977999041</v>
      </c>
      <c r="G17" s="12" t="s">
        <v>179</v>
      </c>
      <c r="H17" s="13">
        <v>8.6949943841257902</v>
      </c>
      <c r="I17" s="2">
        <f>H17/I14</f>
        <v>0.85070805860805909</v>
      </c>
      <c r="J17" s="12" t="s">
        <v>185</v>
      </c>
      <c r="K17" s="13">
        <v>7.2901535005615896</v>
      </c>
      <c r="L17" s="2">
        <f>K17/L14</f>
        <v>0.84235115989833997</v>
      </c>
      <c r="M17" s="12" t="s">
        <v>191</v>
      </c>
      <c r="N17" s="13">
        <v>6.7031074503931096</v>
      </c>
      <c r="O17" s="2">
        <f>N17/O14</f>
        <v>0.78429998247765864</v>
      </c>
    </row>
    <row r="18" spans="1:15" x14ac:dyDescent="0.45">
      <c r="A18" s="12" t="s">
        <v>167</v>
      </c>
      <c r="B18" s="13">
        <v>7.8652190190939697</v>
      </c>
      <c r="C18" s="2">
        <f>B18/C14</f>
        <v>0.9495248533881725</v>
      </c>
      <c r="D18" s="12" t="s">
        <v>173</v>
      </c>
      <c r="E18" s="13">
        <v>8.1287907150879803</v>
      </c>
      <c r="F18" s="2">
        <f>E18/F14</f>
        <v>0.8716878111450137</v>
      </c>
      <c r="G18" s="12" t="s">
        <v>180</v>
      </c>
      <c r="H18" s="13">
        <v>9.4706102583302094</v>
      </c>
      <c r="I18" s="2">
        <f>H18/I14</f>
        <v>0.92659340659340739</v>
      </c>
      <c r="J18" s="12" t="s">
        <v>186</v>
      </c>
      <c r="K18" s="13">
        <v>7.2002995132908998</v>
      </c>
      <c r="L18" s="2">
        <f>K18/L14</f>
        <v>0.83196885307954305</v>
      </c>
      <c r="M18" s="12" t="s">
        <v>192</v>
      </c>
      <c r="N18" s="13">
        <v>6.8947959565705697</v>
      </c>
      <c r="O18" s="2">
        <f>N18/O14</f>
        <v>0.80672857893814554</v>
      </c>
    </row>
    <row r="19" spans="1:15" x14ac:dyDescent="0.45">
      <c r="A19" s="12" t="s">
        <v>168</v>
      </c>
      <c r="B19" s="13">
        <v>8.2605765630849906</v>
      </c>
      <c r="C19" s="2">
        <f>B19/C14</f>
        <v>0.99725420626221695</v>
      </c>
      <c r="D19" s="12" t="s">
        <v>174</v>
      </c>
      <c r="E19" s="13">
        <v>8.1587420441782097</v>
      </c>
      <c r="F19" s="2">
        <f>E19/F14</f>
        <v>0.87489963064075815</v>
      </c>
      <c r="G19" s="12" t="s">
        <v>181</v>
      </c>
      <c r="H19" s="13">
        <v>8.7158367652564497</v>
      </c>
      <c r="I19" s="2">
        <f>H19/I14</f>
        <v>0.85274725274725294</v>
      </c>
      <c r="J19" s="12" t="s">
        <v>187</v>
      </c>
      <c r="K19" s="13">
        <v>7.3560464245600903</v>
      </c>
      <c r="L19" s="2">
        <f>K19/L14</f>
        <v>0.84996485156545698</v>
      </c>
      <c r="M19" s="12" t="s">
        <v>193</v>
      </c>
      <c r="N19" s="13">
        <v>7.5716959940097297</v>
      </c>
      <c r="O19" s="2">
        <f>N19/O14</f>
        <v>0.88592956018924052</v>
      </c>
    </row>
    <row r="20" spans="1:15" x14ac:dyDescent="0.45">
      <c r="M20" s="14" t="s">
        <v>194</v>
      </c>
    </row>
    <row r="22" spans="1:15" x14ac:dyDescent="0.45">
      <c r="A22" s="5" t="s">
        <v>60</v>
      </c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15" x14ac:dyDescent="0.45">
      <c r="A23" s="2" t="s">
        <v>62</v>
      </c>
      <c r="B23">
        <v>1.079077100728371</v>
      </c>
      <c r="C23"/>
      <c r="D23" s="2" t="s">
        <v>63</v>
      </c>
      <c r="E23">
        <v>0.82069275961172128</v>
      </c>
      <c r="F23"/>
      <c r="G23" s="2" t="s">
        <v>64</v>
      </c>
      <c r="H23">
        <v>0.9196371217670587</v>
      </c>
      <c r="I23"/>
      <c r="J23" s="2" t="s">
        <v>65</v>
      </c>
      <c r="K23">
        <v>0.86863762165728997</v>
      </c>
      <c r="L23"/>
      <c r="M23" s="2" t="s">
        <v>66</v>
      </c>
      <c r="N23">
        <v>0.76601332515310994</v>
      </c>
    </row>
    <row r="24" spans="1:15" x14ac:dyDescent="0.45">
      <c r="A24" s="2" t="s">
        <v>67</v>
      </c>
      <c r="B24">
        <v>1.0858056493160433</v>
      </c>
      <c r="C24"/>
      <c r="D24" s="2" t="s">
        <v>68</v>
      </c>
      <c r="E24">
        <v>0.87466383499347866</v>
      </c>
      <c r="F24"/>
      <c r="G24" s="2" t="s">
        <v>69</v>
      </c>
      <c r="H24">
        <v>0.90349016735222898</v>
      </c>
      <c r="I24"/>
      <c r="J24" s="2" t="s">
        <v>70</v>
      </c>
      <c r="K24">
        <v>0.80122436261661767</v>
      </c>
      <c r="L24"/>
      <c r="M24" s="2" t="s">
        <v>71</v>
      </c>
      <c r="N24">
        <v>0.77643234632481906</v>
      </c>
    </row>
    <row r="25" spans="1:15" x14ac:dyDescent="0.45">
      <c r="A25" s="2" t="s">
        <v>72</v>
      </c>
      <c r="B25">
        <v>0.99560312666548278</v>
      </c>
      <c r="C25">
        <f>AVERAGE(B23:B26)</f>
        <v>1.0358134215668864</v>
      </c>
      <c r="D25" s="2" t="s">
        <v>73</v>
      </c>
      <c r="E25">
        <v>0.93671441267789257</v>
      </c>
      <c r="F25">
        <f>AVERAGE(E23:E26)</f>
        <v>0.8703932409192161</v>
      </c>
      <c r="G25" s="2" t="s">
        <v>74</v>
      </c>
      <c r="H25">
        <v>0.90521214853214627</v>
      </c>
      <c r="I25">
        <f>AVERAGE(H23:H26)</f>
        <v>0.91324505550233848</v>
      </c>
      <c r="J25" s="2" t="s">
        <v>75</v>
      </c>
      <c r="K25">
        <v>0.83227331879250044</v>
      </c>
      <c r="L25">
        <f>AVERAGE(K23:K26)</f>
        <v>0.8422533404204634</v>
      </c>
      <c r="M25" s="2" t="s">
        <v>76</v>
      </c>
      <c r="N25">
        <v>0.74194624732259129</v>
      </c>
      <c r="O25">
        <f>AVERAGE(N23:N26)</f>
        <v>0.75954018534663681</v>
      </c>
    </row>
    <row r="26" spans="1:15" x14ac:dyDescent="0.45">
      <c r="A26" s="2" t="s">
        <v>61</v>
      </c>
      <c r="B26">
        <v>0.98276780955764842</v>
      </c>
      <c r="C26">
        <f>_xlfn.STDEV.P(B23:B26)</f>
        <v>4.6908617383706559E-2</v>
      </c>
      <c r="D26" s="2" t="s">
        <v>63</v>
      </c>
      <c r="E26">
        <v>0.84950195639377202</v>
      </c>
      <c r="F26">
        <f>_xlfn.STDEV.P(E23:E26)</f>
        <v>4.2788197579796149E-2</v>
      </c>
      <c r="G26" s="2" t="s">
        <v>64</v>
      </c>
      <c r="H26">
        <v>0.92464078435792008</v>
      </c>
      <c r="I26">
        <f>_xlfn.STDEV.P(H23:H26)</f>
        <v>9.0885447748170704E-3</v>
      </c>
      <c r="J26" s="2" t="s">
        <v>65</v>
      </c>
      <c r="K26">
        <v>0.86687805861544509</v>
      </c>
      <c r="L26">
        <f>_xlfn.STDEV.P(K23:K26)</f>
        <v>2.7773570592783417E-2</v>
      </c>
      <c r="M26" s="2" t="s">
        <v>66</v>
      </c>
      <c r="N26">
        <v>0.75376882258602684</v>
      </c>
      <c r="O26">
        <f>_xlfn.STDEV.P(N23:N26)</f>
        <v>1.2943163492511019E-2</v>
      </c>
    </row>
    <row r="27" spans="1:15" x14ac:dyDescent="0.45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5" x14ac:dyDescent="0.45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5" x14ac:dyDescent="0.45">
      <c r="A29" s="2" t="s">
        <v>77</v>
      </c>
      <c r="B29">
        <v>1.0037627543814045</v>
      </c>
      <c r="C29"/>
      <c r="D29" s="2" t="s">
        <v>78</v>
      </c>
      <c r="E29">
        <v>0.91793801188373236</v>
      </c>
      <c r="F29"/>
      <c r="G29" s="2" t="s">
        <v>79</v>
      </c>
      <c r="H29">
        <v>0.87091575091575257</v>
      </c>
      <c r="I29"/>
      <c r="J29" s="2" t="s">
        <v>80</v>
      </c>
      <c r="K29">
        <v>0.86711296166116869</v>
      </c>
      <c r="L29"/>
      <c r="M29" s="2" t="s">
        <v>81</v>
      </c>
      <c r="N29">
        <v>0.83756789907131657</v>
      </c>
    </row>
    <row r="30" spans="1:15" x14ac:dyDescent="0.45">
      <c r="A30" s="2" t="s">
        <v>82</v>
      </c>
      <c r="B30">
        <v>0.98785297009005724</v>
      </c>
      <c r="C30"/>
      <c r="D30" s="2" t="s">
        <v>83</v>
      </c>
      <c r="E30">
        <v>0.9307330977999041</v>
      </c>
      <c r="F30"/>
      <c r="G30" s="2" t="s">
        <v>84</v>
      </c>
      <c r="H30">
        <v>0.85070805860805909</v>
      </c>
      <c r="I30"/>
      <c r="J30" s="2" t="s">
        <v>85</v>
      </c>
      <c r="K30">
        <v>0.84235115989833997</v>
      </c>
      <c r="L30"/>
      <c r="M30" s="2" t="s">
        <v>86</v>
      </c>
      <c r="N30">
        <v>0.78429998247765864</v>
      </c>
    </row>
    <row r="31" spans="1:15" x14ac:dyDescent="0.45">
      <c r="A31" s="2" t="s">
        <v>87</v>
      </c>
      <c r="B31">
        <v>0.9495248533881725</v>
      </c>
      <c r="C31">
        <f>AVERAGE(B29:B32)</f>
        <v>0.98459869603046279</v>
      </c>
      <c r="D31" s="2" t="s">
        <v>88</v>
      </c>
      <c r="E31">
        <v>0.8716878111450137</v>
      </c>
      <c r="F31">
        <f>AVERAGE(E29:E32)</f>
        <v>0.89881463786735205</v>
      </c>
      <c r="G31" s="2" t="s">
        <v>89</v>
      </c>
      <c r="H31">
        <v>0.92659340659340739</v>
      </c>
      <c r="I31">
        <f>AVERAGE(H29:H32)</f>
        <v>0.87524111721611797</v>
      </c>
      <c r="J31" s="2" t="s">
        <v>80</v>
      </c>
      <c r="K31">
        <v>0.83196885307954305</v>
      </c>
      <c r="L31">
        <f>AVERAGE(K29:K32)</f>
        <v>0.8478494565511272</v>
      </c>
      <c r="M31" s="2" t="s">
        <v>90</v>
      </c>
      <c r="N31">
        <v>0.80672857893814554</v>
      </c>
      <c r="O31">
        <f>AVERAGE(N29:N32)</f>
        <v>0.82863150516909023</v>
      </c>
    </row>
    <row r="32" spans="1:15" x14ac:dyDescent="0.45">
      <c r="A32" s="2" t="s">
        <v>77</v>
      </c>
      <c r="B32">
        <v>0.99725420626221695</v>
      </c>
      <c r="C32">
        <f>_xlfn.STDEV.P(B29:B32)</f>
        <v>2.1024912657698624E-2</v>
      </c>
      <c r="D32" s="2" t="s">
        <v>78</v>
      </c>
      <c r="E32">
        <v>0.87489963064075815</v>
      </c>
      <c r="F32">
        <f>_xlfn.STDEV.P(E29:E32)</f>
        <v>2.5943611048329936E-2</v>
      </c>
      <c r="G32" s="2" t="s">
        <v>79</v>
      </c>
      <c r="H32">
        <v>0.85274725274725294</v>
      </c>
      <c r="I32">
        <f>_xlfn.STDEV.P(H29:H32)</f>
        <v>3.0674139439156759E-2</v>
      </c>
      <c r="J32" s="2" t="s">
        <v>91</v>
      </c>
      <c r="K32">
        <v>0.84996485156545698</v>
      </c>
      <c r="L32">
        <f>_xlfn.STDEV.P(K29:K32)</f>
        <v>1.2825583397013444E-2</v>
      </c>
      <c r="M32" s="2" t="s">
        <v>81</v>
      </c>
      <c r="N32">
        <v>0.88592956018924052</v>
      </c>
      <c r="O32">
        <f>_xlfn.STDEV.P(N29:N32)</f>
        <v>3.8104948257040833E-2</v>
      </c>
    </row>
    <row r="33" spans="1:14" x14ac:dyDescent="0.45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 x14ac:dyDescent="0.45">
      <c r="A34" s="5" t="s">
        <v>92</v>
      </c>
      <c r="B34" s="6"/>
      <c r="C34" s="6"/>
      <c r="D34" s="5" t="s">
        <v>92</v>
      </c>
      <c r="E34" s="6"/>
      <c r="F34" s="6"/>
      <c r="G34" s="5" t="s">
        <v>92</v>
      </c>
      <c r="H34" s="6"/>
      <c r="I34" s="6"/>
      <c r="J34" s="5" t="s">
        <v>92</v>
      </c>
      <c r="K34" s="6"/>
      <c r="L34" s="6"/>
      <c r="M34" s="6" t="s">
        <v>94</v>
      </c>
      <c r="N34" s="6"/>
    </row>
    <row r="35" spans="1:14" x14ac:dyDescent="0.45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 x14ac:dyDescent="0.45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 x14ac:dyDescent="0.45">
      <c r="A37" s="7" t="s">
        <v>105</v>
      </c>
      <c r="B37" s="7" t="s">
        <v>96</v>
      </c>
      <c r="C37" s="7" t="s">
        <v>97</v>
      </c>
      <c r="D37" s="7" t="s">
        <v>106</v>
      </c>
      <c r="E37" s="7" t="s">
        <v>98</v>
      </c>
      <c r="F37" s="7" t="s">
        <v>107</v>
      </c>
      <c r="G37"/>
      <c r="H37"/>
      <c r="I37"/>
      <c r="J37"/>
      <c r="K37"/>
      <c r="L37"/>
      <c r="M37"/>
      <c r="N37"/>
    </row>
    <row r="38" spans="1:14" x14ac:dyDescent="0.45">
      <c r="A38" s="7" t="s">
        <v>108</v>
      </c>
      <c r="B38" s="7">
        <v>1.0358000000000001</v>
      </c>
      <c r="C38" s="7">
        <v>0.98460000000000003</v>
      </c>
      <c r="D38" s="7">
        <v>5.0999999999999997E-2</v>
      </c>
      <c r="E38" s="7">
        <v>0.157</v>
      </c>
      <c r="F38" s="7" t="s">
        <v>195</v>
      </c>
      <c r="G38"/>
      <c r="H38"/>
      <c r="I38"/>
      <c r="J38"/>
      <c r="K38"/>
      <c r="L38"/>
      <c r="M38"/>
      <c r="N38"/>
    </row>
    <row r="39" spans="1:14" x14ac:dyDescent="0.45">
      <c r="A39" s="7" t="s">
        <v>99</v>
      </c>
      <c r="B39" s="7">
        <v>0.87039999999999995</v>
      </c>
      <c r="C39" s="7">
        <v>0.89880000000000004</v>
      </c>
      <c r="D39" s="7" t="s">
        <v>196</v>
      </c>
      <c r="E39" s="7">
        <v>0.36299999999999999</v>
      </c>
      <c r="F39" s="7" t="s">
        <v>112</v>
      </c>
      <c r="G39"/>
      <c r="H39"/>
      <c r="I39"/>
      <c r="J39"/>
      <c r="K39"/>
      <c r="L39"/>
      <c r="M39"/>
      <c r="N39"/>
    </row>
    <row r="40" spans="1:14" x14ac:dyDescent="0.45">
      <c r="A40" s="7" t="s">
        <v>101</v>
      </c>
      <c r="B40" s="7">
        <v>0.91320000000000001</v>
      </c>
      <c r="C40" s="7">
        <v>0.87519999999999998</v>
      </c>
      <c r="D40" s="7">
        <v>3.7999999999999999E-2</v>
      </c>
      <c r="E40" s="7">
        <v>8.5000000000000006E-2</v>
      </c>
      <c r="F40" s="7" t="s">
        <v>195</v>
      </c>
      <c r="G40"/>
      <c r="H40"/>
      <c r="I40"/>
      <c r="J40"/>
      <c r="K40"/>
      <c r="L40"/>
      <c r="M40"/>
      <c r="N40"/>
    </row>
    <row r="41" spans="1:14" x14ac:dyDescent="0.45">
      <c r="A41" s="7" t="s">
        <v>102</v>
      </c>
      <c r="B41" s="7">
        <v>0.84230000000000005</v>
      </c>
      <c r="C41" s="7">
        <v>0.8478</v>
      </c>
      <c r="D41" s="7" t="s">
        <v>197</v>
      </c>
      <c r="E41" s="7">
        <v>0.76200000000000001</v>
      </c>
      <c r="F41" s="7" t="s">
        <v>198</v>
      </c>
      <c r="G41"/>
      <c r="H41"/>
      <c r="I41"/>
      <c r="J41"/>
      <c r="K41"/>
      <c r="L41"/>
      <c r="M41"/>
      <c r="N41"/>
    </row>
    <row r="42" spans="1:14" x14ac:dyDescent="0.45">
      <c r="A42" s="7" t="s">
        <v>103</v>
      </c>
      <c r="B42" s="7">
        <v>0.75949999999999995</v>
      </c>
      <c r="C42" s="7">
        <v>0.8286</v>
      </c>
      <c r="D42" s="7" t="s">
        <v>199</v>
      </c>
      <c r="E42" s="7">
        <v>2.5000000000000001E-2</v>
      </c>
      <c r="F42" s="7" t="s">
        <v>200</v>
      </c>
      <c r="G42"/>
      <c r="H42"/>
      <c r="I42"/>
      <c r="J42"/>
      <c r="K42"/>
      <c r="L42"/>
      <c r="M42"/>
      <c r="N42"/>
    </row>
    <row r="45" spans="1:14" x14ac:dyDescent="0.45">
      <c r="A45"/>
      <c r="B45" t="s">
        <v>216</v>
      </c>
      <c r="C45" t="s">
        <v>217</v>
      </c>
      <c r="D45"/>
      <c r="E45"/>
      <c r="F45"/>
      <c r="G45"/>
      <c r="H45"/>
      <c r="I45"/>
      <c r="J45"/>
      <c r="K45" t="s">
        <v>218</v>
      </c>
      <c r="L45" t="s">
        <v>219</v>
      </c>
    </row>
    <row r="46" spans="1:14" x14ac:dyDescent="0.45">
      <c r="A46" t="s">
        <v>104</v>
      </c>
      <c r="B46" s="14">
        <v>1.0358134215668864</v>
      </c>
      <c r="C46" s="14">
        <v>4.6908617383706559E-2</v>
      </c>
      <c r="D46"/>
      <c r="E46"/>
      <c r="F46"/>
      <c r="G46"/>
      <c r="H46"/>
      <c r="I46"/>
      <c r="J46" t="s">
        <v>104</v>
      </c>
      <c r="K46" s="14">
        <v>0.98459869603046279</v>
      </c>
      <c r="L46" s="14">
        <v>2.1024912657698624E-2</v>
      </c>
    </row>
    <row r="47" spans="1:14" x14ac:dyDescent="0.45">
      <c r="A47" t="s">
        <v>220</v>
      </c>
      <c r="B47" s="14">
        <v>0.8703932409192161</v>
      </c>
      <c r="C47" s="14">
        <v>4.2788197579796149E-2</v>
      </c>
      <c r="D47"/>
      <c r="E47"/>
      <c r="F47"/>
      <c r="G47"/>
      <c r="H47"/>
      <c r="I47"/>
      <c r="J47" t="s">
        <v>220</v>
      </c>
      <c r="K47" s="14">
        <v>0.89881463786735205</v>
      </c>
      <c r="L47" s="14">
        <v>2.5943611048329936E-2</v>
      </c>
    </row>
    <row r="48" spans="1:14" x14ac:dyDescent="0.45">
      <c r="A48" t="s">
        <v>221</v>
      </c>
      <c r="B48" s="14">
        <v>0.91324505550233848</v>
      </c>
      <c r="C48" s="14">
        <v>9.0885447748170704E-3</v>
      </c>
      <c r="D48"/>
      <c r="E48"/>
      <c r="F48"/>
      <c r="G48"/>
      <c r="H48"/>
      <c r="I48"/>
      <c r="J48" t="s">
        <v>221</v>
      </c>
      <c r="K48" s="14">
        <v>0.87524111721611797</v>
      </c>
      <c r="L48" s="14">
        <v>3.0674139439156759E-2</v>
      </c>
    </row>
    <row r="49" spans="1:12" x14ac:dyDescent="0.45">
      <c r="A49" t="s">
        <v>222</v>
      </c>
      <c r="B49" s="14">
        <v>0.8422533404204634</v>
      </c>
      <c r="C49" s="14">
        <v>2.7773570592783417E-2</v>
      </c>
      <c r="D49"/>
      <c r="E49"/>
      <c r="F49"/>
      <c r="G49"/>
      <c r="H49"/>
      <c r="I49"/>
      <c r="J49" t="s">
        <v>222</v>
      </c>
      <c r="K49" s="14">
        <v>0.8478494565511272</v>
      </c>
      <c r="L49" s="14">
        <v>1.2825583397013444E-2</v>
      </c>
    </row>
    <row r="50" spans="1:12" x14ac:dyDescent="0.45">
      <c r="A50" t="s">
        <v>223</v>
      </c>
      <c r="B50" s="14">
        <v>0.75954018534663681</v>
      </c>
      <c r="C50" s="14">
        <v>1.2943163492511019E-2</v>
      </c>
      <c r="D50"/>
      <c r="E50"/>
      <c r="F50"/>
      <c r="G50"/>
      <c r="H50"/>
      <c r="I50"/>
      <c r="J50" t="s">
        <v>223</v>
      </c>
      <c r="K50" s="14">
        <v>0.82863150516909023</v>
      </c>
      <c r="L50" s="14">
        <v>3.8104948257040833E-2</v>
      </c>
    </row>
    <row r="53" spans="1:12" x14ac:dyDescent="0.45">
      <c r="A53"/>
      <c r="B53" t="s">
        <v>216</v>
      </c>
      <c r="C53" t="s">
        <v>218</v>
      </c>
    </row>
    <row r="54" spans="1:12" x14ac:dyDescent="0.45">
      <c r="A54" t="s">
        <v>104</v>
      </c>
      <c r="B54" s="14">
        <v>1.0358134215668864</v>
      </c>
      <c r="C54" s="14">
        <v>0.98459869603046279</v>
      </c>
    </row>
    <row r="55" spans="1:12" x14ac:dyDescent="0.45">
      <c r="A55" t="s">
        <v>220</v>
      </c>
      <c r="B55" s="14">
        <v>0.8703932409192161</v>
      </c>
      <c r="C55" s="14">
        <v>0.89881463786735205</v>
      </c>
    </row>
    <row r="56" spans="1:12" x14ac:dyDescent="0.45">
      <c r="A56" t="s">
        <v>221</v>
      </c>
      <c r="B56" s="14">
        <v>0.91324505550233848</v>
      </c>
      <c r="C56" s="14">
        <v>0.87524111721611797</v>
      </c>
    </row>
    <row r="57" spans="1:12" x14ac:dyDescent="0.45">
      <c r="A57" t="s">
        <v>222</v>
      </c>
      <c r="B57" s="14">
        <v>0.8422533404204634</v>
      </c>
      <c r="C57" s="14">
        <v>0.8478494565511272</v>
      </c>
    </row>
    <row r="58" spans="1:12" x14ac:dyDescent="0.45">
      <c r="A58" t="s">
        <v>223</v>
      </c>
      <c r="B58" s="14">
        <v>0.75954018534663681</v>
      </c>
      <c r="C58" s="14">
        <v>0.82863150516909023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5A47-94B1-4914-94EF-EC3A869DB6F0}">
  <dimension ref="A1:O58"/>
  <sheetViews>
    <sheetView tabSelected="1" topLeftCell="A43" workbookViewId="0">
      <selection activeCell="G76" sqref="G76"/>
    </sheetView>
  </sheetViews>
  <sheetFormatPr defaultRowHeight="14" x14ac:dyDescent="0.3"/>
  <cols>
    <col min="1" max="1" width="16.1640625" bestFit="1" customWidth="1"/>
    <col min="4" max="4" width="14.58203125" bestFit="1" customWidth="1"/>
    <col min="7" max="7" width="15" bestFit="1" customWidth="1"/>
    <col min="10" max="10" width="14.9140625" bestFit="1" customWidth="1"/>
    <col min="13" max="13" width="15" bestFit="1" customWidth="1"/>
  </cols>
  <sheetData>
    <row r="1" spans="1:15" ht="16.5" x14ac:dyDescent="0.3">
      <c r="A1" s="19" t="s">
        <v>201</v>
      </c>
      <c r="C1" t="s">
        <v>202</v>
      </c>
    </row>
    <row r="3" spans="1:15" ht="16.5" x14ac:dyDescent="0.3">
      <c r="A3" s="20" t="s">
        <v>203</v>
      </c>
      <c r="B3" s="22">
        <v>10.854999999999999</v>
      </c>
      <c r="C3" s="10"/>
      <c r="D3" s="20" t="s">
        <v>206</v>
      </c>
      <c r="E3" s="22">
        <v>11.234</v>
      </c>
      <c r="F3" s="10"/>
      <c r="G3" s="20" t="s">
        <v>131</v>
      </c>
      <c r="H3" s="22">
        <v>11.766</v>
      </c>
      <c r="I3" s="10"/>
      <c r="J3" s="20" t="s">
        <v>210</v>
      </c>
      <c r="K3" s="22">
        <v>12.161</v>
      </c>
      <c r="L3" s="10"/>
      <c r="M3" s="20" t="s">
        <v>213</v>
      </c>
      <c r="N3" s="22">
        <v>12.918000000000001</v>
      </c>
      <c r="O3" s="10"/>
    </row>
    <row r="4" spans="1:15" ht="16.5" x14ac:dyDescent="0.3">
      <c r="A4" s="20" t="s">
        <v>1</v>
      </c>
      <c r="B4" s="22">
        <v>10.846</v>
      </c>
      <c r="C4" s="10"/>
      <c r="D4" s="20" t="s">
        <v>118</v>
      </c>
      <c r="E4" s="22">
        <v>11.227</v>
      </c>
      <c r="F4" s="10"/>
      <c r="G4" s="20" t="s">
        <v>121</v>
      </c>
      <c r="H4" s="22">
        <v>11.8</v>
      </c>
      <c r="I4" s="10"/>
      <c r="J4" s="20" t="s">
        <v>125</v>
      </c>
      <c r="K4" s="22">
        <v>12.272</v>
      </c>
      <c r="L4" s="10"/>
      <c r="M4" s="20" t="s">
        <v>128</v>
      </c>
      <c r="N4" s="22">
        <v>12.947000000000001</v>
      </c>
      <c r="O4" s="10"/>
    </row>
    <row r="5" spans="1:15" ht="16.5" x14ac:dyDescent="0.3">
      <c r="A5" s="20" t="s">
        <v>2</v>
      </c>
      <c r="B5" s="22">
        <v>10.891</v>
      </c>
      <c r="C5" s="10">
        <f>AVERAGE(B3:B6)</f>
        <v>10.844999999999999</v>
      </c>
      <c r="D5" s="20" t="s">
        <v>119</v>
      </c>
      <c r="E5" s="22">
        <v>11.257999999999999</v>
      </c>
      <c r="F5" s="10">
        <f>AVERAGE(E3:E6)</f>
        <v>11.252499999999998</v>
      </c>
      <c r="G5" s="20" t="s">
        <v>122</v>
      </c>
      <c r="H5" s="22">
        <v>11.879</v>
      </c>
      <c r="I5" s="10">
        <f>AVERAGE(H3:H6)</f>
        <v>11.83375</v>
      </c>
      <c r="J5" s="20" t="s">
        <v>211</v>
      </c>
      <c r="K5" s="22">
        <v>12.253</v>
      </c>
      <c r="L5" s="10">
        <f>AVERAGE(K3:K6)</f>
        <v>12.22175</v>
      </c>
      <c r="M5" s="20" t="s">
        <v>214</v>
      </c>
      <c r="N5" s="22">
        <v>12.828000000000001</v>
      </c>
      <c r="O5" s="10">
        <f>AVERAGE(N3:N6)</f>
        <v>12.881250000000001</v>
      </c>
    </row>
    <row r="6" spans="1:15" ht="16.5" x14ac:dyDescent="0.3">
      <c r="A6" s="20" t="s">
        <v>224</v>
      </c>
      <c r="B6" s="22">
        <v>10.787999999999998</v>
      </c>
      <c r="C6" s="23"/>
      <c r="D6" s="20" t="s">
        <v>226</v>
      </c>
      <c r="E6" s="22">
        <v>11.291</v>
      </c>
      <c r="F6" s="23"/>
      <c r="G6" s="20" t="s">
        <v>228</v>
      </c>
      <c r="H6" s="22">
        <v>11.89</v>
      </c>
      <c r="I6" s="23"/>
      <c r="J6" s="20" t="s">
        <v>230</v>
      </c>
      <c r="K6" s="22">
        <v>12.201000000000001</v>
      </c>
      <c r="L6" s="23"/>
      <c r="M6" s="20" t="s">
        <v>232</v>
      </c>
      <c r="N6" s="22">
        <v>12.832000000000001</v>
      </c>
      <c r="O6" s="23"/>
    </row>
    <row r="7" spans="1:15" ht="16.5" x14ac:dyDescent="0.3">
      <c r="A7" s="20" t="s">
        <v>3</v>
      </c>
      <c r="B7" s="22">
        <v>10.890999999999998</v>
      </c>
      <c r="C7" s="10">
        <f>B7/C5</f>
        <v>1.0042415859843246</v>
      </c>
      <c r="D7" s="20" t="s">
        <v>207</v>
      </c>
      <c r="E7" s="22">
        <v>11.171000000000001</v>
      </c>
      <c r="F7" s="10">
        <f>E7/F5</f>
        <v>0.99275716507442824</v>
      </c>
      <c r="G7" s="21" t="s">
        <v>209</v>
      </c>
      <c r="H7" s="22">
        <v>11.519000000000002</v>
      </c>
      <c r="I7" s="10">
        <f>H7/I5</f>
        <v>0.97340234498785272</v>
      </c>
      <c r="J7" s="20" t="s">
        <v>212</v>
      </c>
      <c r="K7" s="22">
        <v>11.801</v>
      </c>
      <c r="L7" s="10">
        <f>K7/L5</f>
        <v>0.96557366989179128</v>
      </c>
      <c r="M7" s="20" t="s">
        <v>215</v>
      </c>
      <c r="N7" s="22">
        <v>11.965</v>
      </c>
      <c r="O7" s="10">
        <f>N7/O5</f>
        <v>0.92886948083454624</v>
      </c>
    </row>
    <row r="8" spans="1:15" ht="16.5" x14ac:dyDescent="0.3">
      <c r="A8" s="20" t="s">
        <v>4</v>
      </c>
      <c r="B8" s="22">
        <v>10.978</v>
      </c>
      <c r="C8" s="10">
        <f>B8/C5</f>
        <v>1.012263715998156</v>
      </c>
      <c r="D8" s="20" t="s">
        <v>120</v>
      </c>
      <c r="E8" s="22">
        <v>11.258000000000001</v>
      </c>
      <c r="F8" s="10">
        <f>E8/F5</f>
        <v>1.0004887802710511</v>
      </c>
      <c r="G8" s="20" t="s">
        <v>123</v>
      </c>
      <c r="H8" s="22">
        <v>11.577</v>
      </c>
      <c r="I8" s="10">
        <f>H8/I5</f>
        <v>0.97830358085982883</v>
      </c>
      <c r="J8" s="20" t="s">
        <v>126</v>
      </c>
      <c r="K8" s="22">
        <v>11.811</v>
      </c>
      <c r="L8" s="10">
        <f>K8/L5</f>
        <v>0.96639188332276471</v>
      </c>
      <c r="M8" s="20" t="s">
        <v>129</v>
      </c>
      <c r="N8" s="22">
        <v>11.966999999999999</v>
      </c>
      <c r="O8" s="10">
        <f>N8/O5</f>
        <v>0.92902474526928658</v>
      </c>
    </row>
    <row r="9" spans="1:15" ht="16.5" x14ac:dyDescent="0.3">
      <c r="A9" s="20" t="s">
        <v>204</v>
      </c>
      <c r="B9" s="22">
        <v>10.909999999999998</v>
      </c>
      <c r="C9" s="10">
        <f>B9/C5</f>
        <v>1.0059935454126325</v>
      </c>
      <c r="D9" s="20" t="s">
        <v>208</v>
      </c>
      <c r="E9" s="22">
        <v>11.190000000000001</v>
      </c>
      <c r="F9" s="10">
        <f>E9/F5</f>
        <v>0.99444567873805856</v>
      </c>
      <c r="G9" s="20" t="s">
        <v>124</v>
      </c>
      <c r="H9" s="22">
        <v>11.457000000000001</v>
      </c>
      <c r="I9" s="10">
        <f>H9/I5</f>
        <v>0.96816309284884339</v>
      </c>
      <c r="J9" s="20" t="s">
        <v>127</v>
      </c>
      <c r="K9" s="22">
        <v>11.696000000000002</v>
      </c>
      <c r="L9" s="10">
        <f>K9/L5</f>
        <v>0.95698242886656992</v>
      </c>
      <c r="M9" s="20" t="s">
        <v>29</v>
      </c>
      <c r="N9" s="22">
        <v>11.965999999999999</v>
      </c>
      <c r="O9" s="10">
        <f>N9/O5</f>
        <v>0.92894711305191635</v>
      </c>
    </row>
    <row r="10" spans="1:15" ht="16.5" x14ac:dyDescent="0.3">
      <c r="A10" s="20" t="s">
        <v>225</v>
      </c>
      <c r="B10" s="22">
        <v>10.854999999999999</v>
      </c>
      <c r="C10" s="10">
        <f>B10/C5</f>
        <v>1.0009220839096358</v>
      </c>
      <c r="D10" s="20" t="s">
        <v>227</v>
      </c>
      <c r="E10" s="22">
        <v>11.136000000000001</v>
      </c>
      <c r="F10" s="10">
        <f>E10/F5</f>
        <v>0.98964674516774076</v>
      </c>
      <c r="G10" s="20" t="s">
        <v>229</v>
      </c>
      <c r="H10" s="22">
        <v>11.473000000000001</v>
      </c>
      <c r="I10" s="10">
        <f>H10/I5</f>
        <v>0.96951515791697485</v>
      </c>
      <c r="J10" s="20" t="s">
        <v>231</v>
      </c>
      <c r="K10" s="22">
        <v>11.792</v>
      </c>
      <c r="L10" s="10">
        <f>K10/L5</f>
        <v>0.96483727780391515</v>
      </c>
      <c r="M10" s="20" t="s">
        <v>233</v>
      </c>
      <c r="N10" s="22">
        <v>11.943</v>
      </c>
      <c r="O10" s="10">
        <f>N10/O5</f>
        <v>0.92716157205240157</v>
      </c>
    </row>
    <row r="11" spans="1:15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5" ht="16.5" x14ac:dyDescent="0.3">
      <c r="A12" s="20" t="s">
        <v>205</v>
      </c>
      <c r="B12" s="22">
        <v>10.831</v>
      </c>
      <c r="C12" s="10"/>
      <c r="D12" s="20" t="s">
        <v>36</v>
      </c>
      <c r="E12" s="22">
        <v>11.276999999999999</v>
      </c>
      <c r="F12" s="10"/>
      <c r="G12" s="20" t="s">
        <v>42</v>
      </c>
      <c r="H12" s="22">
        <v>11.870000000000001</v>
      </c>
      <c r="I12" s="10"/>
      <c r="J12" s="20" t="s">
        <v>48</v>
      </c>
      <c r="K12" s="22">
        <v>12.310000000000002</v>
      </c>
      <c r="L12" s="10"/>
      <c r="M12" s="20" t="s">
        <v>54</v>
      </c>
      <c r="N12" s="22">
        <v>12.818000000000001</v>
      </c>
      <c r="O12" s="10"/>
    </row>
    <row r="13" spans="1:15" ht="16.5" x14ac:dyDescent="0.3">
      <c r="A13" s="20" t="s">
        <v>31</v>
      </c>
      <c r="B13" s="22">
        <v>10.827</v>
      </c>
      <c r="C13" s="10"/>
      <c r="D13" s="20" t="s">
        <v>37</v>
      </c>
      <c r="E13" s="22">
        <v>11.286999999999999</v>
      </c>
      <c r="F13" s="10"/>
      <c r="G13" s="20" t="s">
        <v>43</v>
      </c>
      <c r="H13" s="22">
        <v>11.840000000000002</v>
      </c>
      <c r="I13" s="10"/>
      <c r="J13" s="20" t="s">
        <v>49</v>
      </c>
      <c r="K13" s="22">
        <v>12.291000000000002</v>
      </c>
      <c r="L13" s="10"/>
      <c r="M13" s="20" t="s">
        <v>55</v>
      </c>
      <c r="N13" s="22">
        <v>12.757000000000001</v>
      </c>
      <c r="O13" s="10"/>
    </row>
    <row r="14" spans="1:15" ht="16.5" x14ac:dyDescent="0.3">
      <c r="A14" s="20" t="s">
        <v>130</v>
      </c>
      <c r="B14" s="22">
        <v>10.866999999999999</v>
      </c>
      <c r="C14" s="10">
        <f>AVERAGE(B12:B15)</f>
        <v>10.834</v>
      </c>
      <c r="D14" s="20" t="s">
        <v>38</v>
      </c>
      <c r="E14" s="22">
        <v>11.331</v>
      </c>
      <c r="F14" s="10">
        <f>AVERAGE(E12:E15)</f>
        <v>11.286499999999998</v>
      </c>
      <c r="G14" s="20" t="s">
        <v>44</v>
      </c>
      <c r="H14" s="22">
        <v>11.9</v>
      </c>
      <c r="I14" s="10">
        <f>AVERAGE(H12:H15)</f>
        <v>11.875</v>
      </c>
      <c r="J14" s="20" t="s">
        <v>50</v>
      </c>
      <c r="K14" s="22">
        <v>12.232000000000001</v>
      </c>
      <c r="L14" s="10">
        <f>AVERAGE(K12:K15)</f>
        <v>12.266500000000002</v>
      </c>
      <c r="M14" s="20" t="s">
        <v>56</v>
      </c>
      <c r="N14" s="22">
        <v>12.736000000000001</v>
      </c>
      <c r="O14" s="10">
        <f>AVERAGE(N12:N15)</f>
        <v>12.755750000000003</v>
      </c>
    </row>
    <row r="15" spans="1:15" ht="16.5" x14ac:dyDescent="0.3">
      <c r="A15" s="20" t="s">
        <v>234</v>
      </c>
      <c r="B15" s="22">
        <v>10.811</v>
      </c>
      <c r="C15" s="23"/>
      <c r="D15" s="20" t="s">
        <v>236</v>
      </c>
      <c r="E15" s="22">
        <v>11.250999999999999</v>
      </c>
      <c r="F15" s="23"/>
      <c r="G15" s="20" t="s">
        <v>238</v>
      </c>
      <c r="H15" s="22">
        <v>11.89</v>
      </c>
      <c r="I15" s="23"/>
      <c r="J15" s="20" t="s">
        <v>240</v>
      </c>
      <c r="K15" s="22">
        <v>12.233000000000002</v>
      </c>
      <c r="L15" s="23"/>
      <c r="M15" s="20" t="s">
        <v>242</v>
      </c>
      <c r="N15" s="22">
        <v>12.712000000000002</v>
      </c>
      <c r="O15" s="23"/>
    </row>
    <row r="16" spans="1:15" ht="16.5" x14ac:dyDescent="0.3">
      <c r="A16" s="20" t="s">
        <v>33</v>
      </c>
      <c r="B16" s="22">
        <v>10.889999999999999</v>
      </c>
      <c r="C16" s="10">
        <f>B16/C14</f>
        <v>1.0051689126822965</v>
      </c>
      <c r="D16" s="20" t="s">
        <v>39</v>
      </c>
      <c r="E16" s="22">
        <v>11.288000000000002</v>
      </c>
      <c r="F16" s="10">
        <f>E16/F14</f>
        <v>1.0001329021397247</v>
      </c>
      <c r="G16" s="20" t="s">
        <v>45</v>
      </c>
      <c r="H16" s="22">
        <v>11.770999999999999</v>
      </c>
      <c r="I16" s="10">
        <f>H16/I14</f>
        <v>0.99124210526315781</v>
      </c>
      <c r="J16" s="20" t="s">
        <v>51</v>
      </c>
      <c r="K16" s="22">
        <v>12.091999999999999</v>
      </c>
      <c r="L16" s="10">
        <f>K16/L14</f>
        <v>0.98577426323727191</v>
      </c>
      <c r="M16" s="20" t="s">
        <v>57</v>
      </c>
      <c r="N16" s="22">
        <v>12.185</v>
      </c>
      <c r="O16" s="10">
        <f>N16/O14</f>
        <v>0.95525547302197034</v>
      </c>
    </row>
    <row r="17" spans="1:15" ht="16.5" x14ac:dyDescent="0.3">
      <c r="A17" s="20" t="s">
        <v>34</v>
      </c>
      <c r="B17" s="22">
        <v>10.85</v>
      </c>
      <c r="C17" s="10">
        <f>B17/C14</f>
        <v>1.0014768321949419</v>
      </c>
      <c r="D17" s="20" t="s">
        <v>40</v>
      </c>
      <c r="E17" s="22">
        <v>11.238000000000003</v>
      </c>
      <c r="F17" s="10">
        <f>E17/F14</f>
        <v>0.99570283081557653</v>
      </c>
      <c r="G17" s="20" t="s">
        <v>46</v>
      </c>
      <c r="H17" s="22">
        <v>11.67</v>
      </c>
      <c r="I17" s="10">
        <f>H17/I14</f>
        <v>0.98273684210526313</v>
      </c>
      <c r="J17" s="20" t="s">
        <v>52</v>
      </c>
      <c r="K17" s="22">
        <v>12.031999999999998</v>
      </c>
      <c r="L17" s="10">
        <f>K17/L14</f>
        <v>0.98088289243060334</v>
      </c>
      <c r="M17" s="20" t="s">
        <v>58</v>
      </c>
      <c r="N17" s="22">
        <v>12.186999999999999</v>
      </c>
      <c r="O17" s="10">
        <f>N17/O14</f>
        <v>0.95541226505693488</v>
      </c>
    </row>
    <row r="18" spans="1:15" ht="16.5" x14ac:dyDescent="0.3">
      <c r="A18" s="20" t="s">
        <v>35</v>
      </c>
      <c r="B18" s="22">
        <v>10.879999999999999</v>
      </c>
      <c r="C18" s="10">
        <f>B18/C14</f>
        <v>1.0042458925604578</v>
      </c>
      <c r="D18" s="20" t="s">
        <v>41</v>
      </c>
      <c r="E18" s="22">
        <v>11.170000000000002</v>
      </c>
      <c r="F18" s="10">
        <f>E18/F14</f>
        <v>0.98967793381473468</v>
      </c>
      <c r="G18" s="20" t="s">
        <v>47</v>
      </c>
      <c r="H18" s="22">
        <v>11.65</v>
      </c>
      <c r="I18" s="10">
        <f>H18/I14</f>
        <v>0.9810526315789474</v>
      </c>
      <c r="J18" s="20" t="s">
        <v>53</v>
      </c>
      <c r="K18" s="22">
        <v>11.991999999999999</v>
      </c>
      <c r="L18" s="10">
        <f>K18/L14</f>
        <v>0.97762197855949107</v>
      </c>
      <c r="M18" s="20" t="s">
        <v>59</v>
      </c>
      <c r="N18" s="22">
        <v>12.215999999999999</v>
      </c>
      <c r="O18" s="10">
        <f>N18/O14</f>
        <v>0.95768574956392194</v>
      </c>
    </row>
    <row r="19" spans="1:15" ht="16.5" x14ac:dyDescent="0.3">
      <c r="A19" s="20" t="s">
        <v>235</v>
      </c>
      <c r="B19" s="22">
        <v>10.84</v>
      </c>
      <c r="C19" s="10">
        <f>B19/C14</f>
        <v>1.0005538120731032</v>
      </c>
      <c r="D19" s="20" t="s">
        <v>237</v>
      </c>
      <c r="E19" s="22">
        <v>11.250000000000002</v>
      </c>
      <c r="F19" s="10">
        <f>E19/F14</f>
        <v>0.99676604793337198</v>
      </c>
      <c r="G19" s="20" t="s">
        <v>239</v>
      </c>
      <c r="H19" s="22">
        <v>11.7</v>
      </c>
      <c r="I19" s="10">
        <f>H19/I14</f>
        <v>0.98526315789473673</v>
      </c>
      <c r="J19" s="20" t="s">
        <v>241</v>
      </c>
      <c r="K19" s="22">
        <v>11.961</v>
      </c>
      <c r="L19" s="10">
        <f>K19/L14</f>
        <v>0.97509477030937908</v>
      </c>
      <c r="M19" s="20" t="s">
        <v>243</v>
      </c>
      <c r="N19" s="22">
        <v>12.163</v>
      </c>
      <c r="O19" s="10">
        <f>N19/O14</f>
        <v>0.95353076063735942</v>
      </c>
    </row>
    <row r="22" spans="1:15" ht="16.5" x14ac:dyDescent="0.3">
      <c r="A22" s="5" t="s">
        <v>60</v>
      </c>
    </row>
    <row r="23" spans="1:15" ht="16.5" x14ac:dyDescent="0.3">
      <c r="A23" s="2" t="s">
        <v>62</v>
      </c>
      <c r="B23">
        <v>1.0042415859843246</v>
      </c>
      <c r="D23" s="2" t="s">
        <v>63</v>
      </c>
      <c r="E23">
        <v>0.99275716507442824</v>
      </c>
      <c r="G23" s="2" t="s">
        <v>64</v>
      </c>
      <c r="H23">
        <v>0.97340234498785272</v>
      </c>
      <c r="J23" s="2" t="s">
        <v>65</v>
      </c>
      <c r="K23">
        <v>0.96557366989179128</v>
      </c>
      <c r="M23" s="2" t="s">
        <v>66</v>
      </c>
      <c r="N23">
        <v>0.92886948083454624</v>
      </c>
    </row>
    <row r="24" spans="1:15" ht="16.5" x14ac:dyDescent="0.3">
      <c r="A24" s="2" t="s">
        <v>67</v>
      </c>
      <c r="B24">
        <v>1.012263715998156</v>
      </c>
      <c r="D24" s="2" t="s">
        <v>68</v>
      </c>
      <c r="E24">
        <v>1.0004887802710511</v>
      </c>
      <c r="G24" s="2" t="s">
        <v>69</v>
      </c>
      <c r="H24">
        <v>0.97830358085982883</v>
      </c>
      <c r="J24" s="2" t="s">
        <v>70</v>
      </c>
      <c r="K24">
        <v>0.96639188332276471</v>
      </c>
      <c r="M24" s="2" t="s">
        <v>71</v>
      </c>
      <c r="N24">
        <v>0.92902474526928658</v>
      </c>
    </row>
    <row r="25" spans="1:15" ht="16.5" x14ac:dyDescent="0.3">
      <c r="A25" s="2" t="s">
        <v>72</v>
      </c>
      <c r="B25">
        <v>1.0059935454126325</v>
      </c>
      <c r="C25">
        <f>AVERAGE(B23:B26)</f>
        <v>1.0058552328261872</v>
      </c>
      <c r="D25" s="2" t="s">
        <v>73</v>
      </c>
      <c r="E25">
        <v>0.99444567873805856</v>
      </c>
      <c r="F25">
        <f>AVERAGE(E23:E26)</f>
        <v>0.99433459231281973</v>
      </c>
      <c r="G25" s="2" t="s">
        <v>74</v>
      </c>
      <c r="H25">
        <v>0.96816309284884339</v>
      </c>
      <c r="I25">
        <f>AVERAGE(H23:H26)</f>
        <v>0.972346044153375</v>
      </c>
      <c r="J25" s="2" t="s">
        <v>75</v>
      </c>
      <c r="K25">
        <v>0.95698242886656992</v>
      </c>
      <c r="L25">
        <f>AVERAGE(K23:K26)</f>
        <v>0.96344631497126021</v>
      </c>
      <c r="M25" s="2" t="s">
        <v>76</v>
      </c>
      <c r="N25">
        <v>0.92894711305191635</v>
      </c>
      <c r="O25">
        <f>AVERAGE(N23:N26)</f>
        <v>0.92850072780203763</v>
      </c>
    </row>
    <row r="26" spans="1:15" ht="16.5" x14ac:dyDescent="0.3">
      <c r="A26" s="2" t="s">
        <v>61</v>
      </c>
      <c r="B26">
        <v>1.0009220839096358</v>
      </c>
      <c r="C26">
        <f>_xlfn.STDEV.P(B23:B26)</f>
        <v>4.1239423280431068E-3</v>
      </c>
      <c r="D26" s="2" t="s">
        <v>63</v>
      </c>
      <c r="E26">
        <v>0.98964674516774076</v>
      </c>
      <c r="F26">
        <f>_xlfn.STDEV.P(E23:E26)</f>
        <v>3.9481184495642153E-3</v>
      </c>
      <c r="G26" s="2" t="s">
        <v>64</v>
      </c>
      <c r="H26">
        <v>0.96951515791697485</v>
      </c>
      <c r="I26">
        <f>_xlfn.STDEV.P(H23:H26)</f>
        <v>3.9407808097249447E-3</v>
      </c>
      <c r="J26" s="2" t="s">
        <v>65</v>
      </c>
      <c r="K26">
        <v>0.96483727780391515</v>
      </c>
      <c r="L26">
        <f>_xlfn.STDEV.P(K23:K26)</f>
        <v>3.7722212636432232E-3</v>
      </c>
      <c r="M26" s="2" t="s">
        <v>66</v>
      </c>
      <c r="N26">
        <v>0.92716157205240157</v>
      </c>
      <c r="O26">
        <f>_xlfn.STDEV.P(N23:N26)</f>
        <v>7.7510822116316346E-4</v>
      </c>
    </row>
    <row r="29" spans="1:15" ht="16.5" x14ac:dyDescent="0.3">
      <c r="A29" s="2" t="s">
        <v>77</v>
      </c>
      <c r="B29">
        <v>1.0051689126822965</v>
      </c>
      <c r="D29" s="2" t="s">
        <v>78</v>
      </c>
      <c r="E29">
        <v>1.0001329021397247</v>
      </c>
      <c r="G29" s="2" t="s">
        <v>79</v>
      </c>
      <c r="H29">
        <v>0.99124210526315781</v>
      </c>
      <c r="J29" s="2" t="s">
        <v>80</v>
      </c>
      <c r="K29">
        <v>0.98577426323727191</v>
      </c>
      <c r="M29" s="2" t="s">
        <v>81</v>
      </c>
      <c r="N29">
        <v>0.95525547302197034</v>
      </c>
    </row>
    <row r="30" spans="1:15" ht="16.5" x14ac:dyDescent="0.3">
      <c r="A30" s="2" t="s">
        <v>82</v>
      </c>
      <c r="B30">
        <v>1.0014768321949419</v>
      </c>
      <c r="D30" s="2" t="s">
        <v>83</v>
      </c>
      <c r="E30">
        <v>0.99570283081557653</v>
      </c>
      <c r="G30" s="2" t="s">
        <v>84</v>
      </c>
      <c r="H30">
        <v>0.98273684210526313</v>
      </c>
      <c r="J30" s="2" t="s">
        <v>85</v>
      </c>
      <c r="K30">
        <v>0.98088289243060334</v>
      </c>
      <c r="M30" s="2" t="s">
        <v>86</v>
      </c>
      <c r="N30">
        <v>0.95541226505693488</v>
      </c>
    </row>
    <row r="31" spans="1:15" ht="16.5" x14ac:dyDescent="0.3">
      <c r="A31" s="2" t="s">
        <v>87</v>
      </c>
      <c r="B31">
        <v>1.0042458925604578</v>
      </c>
      <c r="C31">
        <f>AVERAGE(B29:B32)</f>
        <v>1.0028613623776998</v>
      </c>
      <c r="D31" s="2" t="s">
        <v>88</v>
      </c>
      <c r="E31">
        <v>0.98967793381473468</v>
      </c>
      <c r="F31">
        <f>AVERAGE(E29:E32)</f>
        <v>0.99556992867585203</v>
      </c>
      <c r="G31" s="2" t="s">
        <v>89</v>
      </c>
      <c r="H31">
        <v>0.9810526315789474</v>
      </c>
      <c r="I31">
        <f>AVERAGE(H29:H32)</f>
        <v>0.98507368421052621</v>
      </c>
      <c r="J31" s="2" t="s">
        <v>80</v>
      </c>
      <c r="K31">
        <v>0.97762197855949107</v>
      </c>
      <c r="L31">
        <f>AVERAGE(K29:K32)</f>
        <v>0.97984347613418632</v>
      </c>
      <c r="M31" s="2" t="s">
        <v>90</v>
      </c>
      <c r="N31">
        <v>0.95768574956392194</v>
      </c>
      <c r="O31">
        <f>AVERAGE(N29:N32)</f>
        <v>0.95547106207004673</v>
      </c>
    </row>
    <row r="32" spans="1:15" ht="16.5" x14ac:dyDescent="0.3">
      <c r="A32" s="2" t="s">
        <v>77</v>
      </c>
      <c r="B32">
        <v>1.0005538120731032</v>
      </c>
      <c r="C32">
        <f>_xlfn.STDEV.P(B29:B32)</f>
        <v>1.9028547284556116E-3</v>
      </c>
      <c r="D32" s="2" t="s">
        <v>78</v>
      </c>
      <c r="E32">
        <v>0.99676604793337198</v>
      </c>
      <c r="F32">
        <f>_xlfn.STDEV.P(E29:E32)</f>
        <v>3.7744103689315851E-3</v>
      </c>
      <c r="G32" s="2" t="s">
        <v>79</v>
      </c>
      <c r="H32">
        <v>0.98526315789473673</v>
      </c>
      <c r="I32">
        <f>_xlfn.STDEV.P(H29:H32)</f>
        <v>3.8637745098030227E-3</v>
      </c>
      <c r="J32" s="2" t="s">
        <v>91</v>
      </c>
      <c r="K32">
        <v>0.97509477030937908</v>
      </c>
      <c r="L32">
        <f>_xlfn.STDEV.P(K29:K32)</f>
        <v>3.9918629856346127E-3</v>
      </c>
      <c r="M32" s="2" t="s">
        <v>81</v>
      </c>
      <c r="N32">
        <v>0.95353076063735942</v>
      </c>
      <c r="O32">
        <f>_xlfn.STDEV.P(N29:N32)</f>
        <v>1.4764438756364093E-3</v>
      </c>
    </row>
    <row r="34" spans="1:14" ht="16.5" x14ac:dyDescent="0.3">
      <c r="A34" s="5" t="s">
        <v>92</v>
      </c>
      <c r="B34" s="6"/>
      <c r="C34" s="6"/>
      <c r="D34" s="5" t="s">
        <v>92</v>
      </c>
      <c r="E34" s="6"/>
      <c r="F34" s="6"/>
      <c r="G34" s="5" t="s">
        <v>93</v>
      </c>
      <c r="H34" s="6"/>
      <c r="I34" s="6"/>
      <c r="J34" s="5" t="s">
        <v>93</v>
      </c>
      <c r="K34" s="6"/>
      <c r="L34" s="6"/>
      <c r="M34" s="5" t="s">
        <v>93</v>
      </c>
      <c r="N34" s="6"/>
    </row>
    <row r="37" spans="1:14" x14ac:dyDescent="0.3">
      <c r="A37" s="7" t="s">
        <v>105</v>
      </c>
      <c r="B37" s="7" t="s">
        <v>96</v>
      </c>
      <c r="C37" s="7" t="s">
        <v>97</v>
      </c>
      <c r="D37" s="7" t="s">
        <v>106</v>
      </c>
      <c r="E37" s="7" t="s">
        <v>98</v>
      </c>
      <c r="F37" s="7" t="s">
        <v>107</v>
      </c>
    </row>
    <row r="38" spans="1:14" x14ac:dyDescent="0.3">
      <c r="A38" s="7" t="s">
        <v>108</v>
      </c>
      <c r="B38" s="7">
        <v>1.0058549999999999</v>
      </c>
      <c r="C38" s="7">
        <v>1.002861</v>
      </c>
      <c r="D38" s="7">
        <v>3.0000000000000001E-3</v>
      </c>
      <c r="E38" s="7">
        <v>0.29699999999999999</v>
      </c>
      <c r="F38" s="7" t="s">
        <v>112</v>
      </c>
    </row>
    <row r="39" spans="1:14" x14ac:dyDescent="0.3">
      <c r="A39" s="7" t="s">
        <v>99</v>
      </c>
      <c r="B39" s="7">
        <v>0.99433499999999997</v>
      </c>
      <c r="C39" s="7">
        <v>0.99556999999999995</v>
      </c>
      <c r="D39" s="7" t="s">
        <v>247</v>
      </c>
      <c r="E39" s="7">
        <v>0.70899999999999996</v>
      </c>
      <c r="F39" s="7" t="s">
        <v>248</v>
      </c>
    </row>
    <row r="40" spans="1:14" x14ac:dyDescent="0.3">
      <c r="A40" s="7" t="s">
        <v>101</v>
      </c>
      <c r="B40" s="7">
        <v>0.97234600000000004</v>
      </c>
      <c r="C40" s="7">
        <v>0.98507400000000001</v>
      </c>
      <c r="D40" s="7" t="s">
        <v>249</v>
      </c>
      <c r="E40" s="7">
        <v>7.0000000000000001E-3</v>
      </c>
      <c r="F40" s="7" t="s">
        <v>117</v>
      </c>
    </row>
    <row r="41" spans="1:14" x14ac:dyDescent="0.3">
      <c r="A41" s="7" t="s">
        <v>102</v>
      </c>
      <c r="B41" s="7">
        <v>0.96344600000000002</v>
      </c>
      <c r="C41" s="7">
        <v>0.97984300000000002</v>
      </c>
      <c r="D41" s="7" t="s">
        <v>250</v>
      </c>
      <c r="E41" s="7">
        <v>2E-3</v>
      </c>
      <c r="F41" s="7" t="s">
        <v>117</v>
      </c>
    </row>
    <row r="42" spans="1:14" x14ac:dyDescent="0.3">
      <c r="A42" s="7" t="s">
        <v>103</v>
      </c>
      <c r="B42" s="7">
        <v>0.92850100000000002</v>
      </c>
      <c r="C42" s="7">
        <v>0.95547099999999996</v>
      </c>
      <c r="D42" s="7" t="s">
        <v>251</v>
      </c>
      <c r="E42" s="7" t="s">
        <v>100</v>
      </c>
      <c r="F42" s="7" t="s">
        <v>132</v>
      </c>
    </row>
    <row r="45" spans="1:14" x14ac:dyDescent="0.3">
      <c r="B45" t="s">
        <v>216</v>
      </c>
      <c r="C45" t="s">
        <v>217</v>
      </c>
      <c r="K45" t="s">
        <v>218</v>
      </c>
      <c r="L45" t="s">
        <v>219</v>
      </c>
    </row>
    <row r="46" spans="1:14" x14ac:dyDescent="0.3">
      <c r="A46" t="s">
        <v>104</v>
      </c>
      <c r="B46">
        <v>1.0058552328261872</v>
      </c>
      <c r="C46">
        <v>4.1239423280431068E-3</v>
      </c>
      <c r="J46" t="s">
        <v>104</v>
      </c>
      <c r="K46">
        <v>1.0028613623776998</v>
      </c>
      <c r="L46">
        <v>1.9028547284556116E-3</v>
      </c>
    </row>
    <row r="47" spans="1:14" x14ac:dyDescent="0.3">
      <c r="A47" t="s">
        <v>220</v>
      </c>
      <c r="B47">
        <v>0.99433459231281973</v>
      </c>
      <c r="C47">
        <v>3.9481184495642153E-3</v>
      </c>
      <c r="J47" t="s">
        <v>220</v>
      </c>
      <c r="K47">
        <v>0.99556992867585203</v>
      </c>
      <c r="L47">
        <v>3.7744103689315851E-3</v>
      </c>
    </row>
    <row r="48" spans="1:14" x14ac:dyDescent="0.3">
      <c r="A48" t="s">
        <v>221</v>
      </c>
      <c r="B48">
        <v>0.972346044153375</v>
      </c>
      <c r="C48">
        <v>3.9407808097249447E-3</v>
      </c>
      <c r="J48" t="s">
        <v>221</v>
      </c>
      <c r="K48">
        <v>0.98507368421052621</v>
      </c>
      <c r="L48">
        <v>3.8637745098030227E-3</v>
      </c>
    </row>
    <row r="49" spans="1:12" x14ac:dyDescent="0.3">
      <c r="A49" t="s">
        <v>222</v>
      </c>
      <c r="B49">
        <v>0.96344631497126021</v>
      </c>
      <c r="C49">
        <v>3.7722212636432232E-3</v>
      </c>
      <c r="J49" t="s">
        <v>222</v>
      </c>
      <c r="K49">
        <v>0.97984347613418632</v>
      </c>
      <c r="L49">
        <v>3.9918629856346127E-3</v>
      </c>
    </row>
    <row r="50" spans="1:12" x14ac:dyDescent="0.3">
      <c r="A50" t="s">
        <v>223</v>
      </c>
      <c r="B50">
        <v>0.92850072780203763</v>
      </c>
      <c r="C50">
        <v>7.7510822116316346E-4</v>
      </c>
      <c r="J50" t="s">
        <v>223</v>
      </c>
      <c r="K50">
        <v>0.95547106207004673</v>
      </c>
      <c r="L50">
        <v>1.4764438756364093E-3</v>
      </c>
    </row>
    <row r="53" spans="1:12" x14ac:dyDescent="0.3">
      <c r="B53" t="s">
        <v>216</v>
      </c>
      <c r="C53" t="s">
        <v>218</v>
      </c>
    </row>
    <row r="54" spans="1:12" x14ac:dyDescent="0.3">
      <c r="A54" t="s">
        <v>104</v>
      </c>
      <c r="B54">
        <v>1.0058552328261872</v>
      </c>
      <c r="C54">
        <v>1.0028613623776998</v>
      </c>
    </row>
    <row r="55" spans="1:12" x14ac:dyDescent="0.3">
      <c r="A55" t="s">
        <v>220</v>
      </c>
      <c r="B55">
        <v>0.99433459231281973</v>
      </c>
      <c r="C55">
        <v>0.99556992867585203</v>
      </c>
    </row>
    <row r="56" spans="1:12" x14ac:dyDescent="0.3">
      <c r="A56" t="s">
        <v>221</v>
      </c>
      <c r="B56">
        <v>0.972346044153375</v>
      </c>
      <c r="C56">
        <v>0.98507368421052621</v>
      </c>
    </row>
    <row r="57" spans="1:12" x14ac:dyDescent="0.3">
      <c r="A57" t="s">
        <v>222</v>
      </c>
      <c r="B57">
        <v>0.96344631497126021</v>
      </c>
      <c r="C57">
        <v>0.97984347613418632</v>
      </c>
    </row>
    <row r="58" spans="1:12" x14ac:dyDescent="0.3">
      <c r="A58" t="s">
        <v>223</v>
      </c>
      <c r="B58">
        <v>0.92850072780203763</v>
      </c>
      <c r="C58">
        <v>0.95547106207004673</v>
      </c>
    </row>
  </sheetData>
  <phoneticPr fontId="3" type="noConversion"/>
  <conditionalFormatting sqref="A10 A12:A13 D12:D13 G12:G13 J12:J13 M12:M13 G3:G6">
    <cfRule type="expression" dxfId="18" priority="53">
      <formula>IF(OR(A35="S1",A35="S2",A35="S3",A35="S4",A35="S5"),1,0)=1</formula>
    </cfRule>
  </conditionalFormatting>
  <conditionalFormatting sqref="A10 A12:B19 D12:E19 G12:H19 J12:K19 M12:N19">
    <cfRule type="notContainsBlanks" dxfId="17" priority="52">
      <formula>LEN(TRIM(A10))&gt;0</formula>
    </cfRule>
  </conditionalFormatting>
  <conditionalFormatting sqref="A14:A19 D14:D19 G14:G19 J14:J19 M14:M19 B15:B19 E15:E19 H15:H19 K15:K19 N15:N19 K3:K10 H3:H10">
    <cfRule type="expression" dxfId="16" priority="63">
      <formula>IF(OR(#REF!="S1",#REF!="S2",#REF!="S3",#REF!="S4",#REF!="S5"),1,0)=1</formula>
    </cfRule>
  </conditionalFormatting>
  <conditionalFormatting sqref="A3:B5 A6 B6:B10 B12:B14 E12:E14 H12:H14 K12:K14 N12:N14">
    <cfRule type="expression" dxfId="15" priority="61">
      <formula>IF(OR(A34="S1",A34="S2",A34="S3",A34="S4",A34="S5"),1,0)=1</formula>
    </cfRule>
  </conditionalFormatting>
  <conditionalFormatting sqref="A7:B9">
    <cfRule type="notContainsBlanks" dxfId="14" priority="58">
      <formula>LEN(TRIM(A7))&gt;0</formula>
    </cfRule>
    <cfRule type="expression" dxfId="13" priority="59">
      <formula>IF(OR(A39="S1",A39="S2",A39="S3",A39="S4",A39="S5"),1,0)=1</formula>
    </cfRule>
  </conditionalFormatting>
  <conditionalFormatting sqref="B6:B10 A3:B5 A6">
    <cfRule type="notContainsBlanks" dxfId="12" priority="60">
      <formula>LEN(TRIM(A3))&gt;0</formula>
    </cfRule>
  </conditionalFormatting>
  <conditionalFormatting sqref="D3:E5 D6 E6:E10">
    <cfRule type="expression" dxfId="11" priority="57">
      <formula>IF(OR(M32="S1",M32="S2",M32="S3",M32="S4",M32="S5"),1,0)=1</formula>
    </cfRule>
  </conditionalFormatting>
  <conditionalFormatting sqref="D7:E10">
    <cfRule type="notContainsBlanks" dxfId="10" priority="19">
      <formula>LEN(TRIM(D7))&gt;0</formula>
    </cfRule>
    <cfRule type="expression" dxfId="9" priority="20">
      <formula>IF(OR(M36="S1",M36="S2",M36="S3",M36="S4",M36="S5"),1,0)=1</formula>
    </cfRule>
  </conditionalFormatting>
  <conditionalFormatting sqref="E6:E10 D3:E5 D6">
    <cfRule type="notContainsBlanks" dxfId="8" priority="56">
      <formula>LEN(TRIM(D3))&gt;0</formula>
    </cfRule>
  </conditionalFormatting>
  <conditionalFormatting sqref="G7">
    <cfRule type="expression" dxfId="7" priority="22">
      <formula>IF(OR(P36="S1",P36="S2",P36="S3",P36="S4",P36="S5"),1,0)=1</formula>
    </cfRule>
  </conditionalFormatting>
  <conditionalFormatting sqref="G8:G10">
    <cfRule type="expression" dxfId="6" priority="51">
      <formula>IF(OR(G40="S1",G40="S2",G40="S3",G40="S4",G40="S5"),1,0)=1</formula>
    </cfRule>
  </conditionalFormatting>
  <conditionalFormatting sqref="G3:H10">
    <cfRule type="notContainsBlanks" dxfId="5" priority="21">
      <formula>LEN(TRIM(G3))&gt;0</formula>
    </cfRule>
  </conditionalFormatting>
  <conditionalFormatting sqref="J3:J10">
    <cfRule type="expression" dxfId="4" priority="48">
      <formula>IF(OR(J35="S1",J35="S2",J35="S3",J35="S4",J35="S5"),1,0)=1</formula>
    </cfRule>
  </conditionalFormatting>
  <conditionalFormatting sqref="J3:K10">
    <cfRule type="notContainsBlanks" dxfId="3" priority="47">
      <formula>LEN(TRIM(J3))&gt;0</formula>
    </cfRule>
  </conditionalFormatting>
  <conditionalFormatting sqref="M3:M10">
    <cfRule type="expression" dxfId="2" priority="44">
      <formula>IF(OR(M35="S1",M35="S2",M35="S3",M35="S4",M35="S5"),1,0)=1</formula>
    </cfRule>
  </conditionalFormatting>
  <conditionalFormatting sqref="M3:N10">
    <cfRule type="notContainsBlanks" dxfId="1" priority="3">
      <formula>LEN(TRIM(M3))&gt;0</formula>
    </cfRule>
  </conditionalFormatting>
  <conditionalFormatting sqref="N3:N10">
    <cfRule type="expression" dxfId="0" priority="4">
      <formula>IF(OR(N34="S1",N34="S2",N34="S3",N34="S4",N34="S5"),1,0)=1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ABA</vt:lpstr>
      <vt:lpstr>MDA</vt:lpstr>
      <vt:lpstr>GA</vt:lpstr>
      <vt:lpstr>RPO</vt:lpstr>
      <vt:lpstr>α-AL</vt:lpstr>
      <vt:lpstr>WU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zhou</dc:creator>
  <cp:lastModifiedBy>lei zhou</cp:lastModifiedBy>
  <dcterms:created xsi:type="dcterms:W3CDTF">2015-06-05T18:19:34Z</dcterms:created>
  <dcterms:modified xsi:type="dcterms:W3CDTF">2026-03-06T02:14:26Z</dcterms:modified>
</cp:coreProperties>
</file>